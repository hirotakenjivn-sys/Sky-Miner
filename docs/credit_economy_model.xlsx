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パラメータ" sheetId="1" state="visible" r:id="rId1"/>
    <sheet xmlns:r="http://schemas.openxmlformats.org/officeDocument/2006/relationships" name="資源マスタ" sheetId="2" state="visible" r:id="rId2"/>
    <sheet xmlns:r="http://schemas.openxmlformats.org/officeDocument/2006/relationships" name="天体マスタ" sheetId="3" state="visible" r:id="rId3"/>
    <sheet xmlns:r="http://schemas.openxmlformats.org/officeDocument/2006/relationships" name="精錬・加工" sheetId="4" state="visible" r:id="rId4"/>
    <sheet xmlns:r="http://schemas.openxmlformats.org/officeDocument/2006/relationships" name="速度カーブ" sheetId="5" state="visible" r:id="rId5"/>
    <sheet xmlns:r="http://schemas.openxmlformats.org/officeDocument/2006/relationships" name="船・輸送設計" sheetId="6" state="visible" r:id="rId6"/>
    <sheet xmlns:r="http://schemas.openxmlformats.org/officeDocument/2006/relationships" name="強化コスト曲線" sheetId="7" state="visible" r:id="rId7"/>
    <sheet xmlns:r="http://schemas.openxmlformats.org/officeDocument/2006/relationships" name="進行シミュレーション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#,##0.0"/>
    <numFmt numFmtId="167" formatCode="0.0\x"/>
    <numFmt numFmtId="168" formatCode="#,##0.00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sz val="13"/>
    </font>
    <font>
      <name val="Arial"/>
      <charset val="1"/>
      <family val="0"/>
      <sz val="11"/>
    </font>
    <font>
      <name val="Noto Sans CJK SC"/>
      <family val="2"/>
      <sz val="11"/>
    </font>
    <font>
      <name val="Noto Sans CJK SC"/>
      <charset val="1"/>
      <family val="2"/>
      <sz val="11"/>
    </font>
    <font>
      <name val="Arial"/>
      <charset val="1"/>
      <family val="0"/>
      <color rgb="FF0000FF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Noto Sans CJK SC"/>
      <charset val="1"/>
      <family val="2"/>
      <b val="1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sz val="11"/>
    </font>
    <font>
      <name val="Noto Sans CJK SC"/>
      <family val="2"/>
      <b val="1"/>
      <sz val="11"/>
    </font>
    <font>
      <name val="Noto Sans CJK SC"/>
      <family val="2"/>
      <b val="1"/>
      <sz val="13"/>
    </font>
    <font>
      <name val="Arial"/>
      <charset val="1"/>
      <family val="0"/>
      <b val="1"/>
      <sz val="13"/>
    </font>
    <font>
      <name val="Arial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3" fontId="5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3" fontId="8" fillId="2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1" fontId="8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3" fontId="12" fillId="4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166" fontId="8" fillId="5" borderId="0" applyAlignment="1" pivotButton="0" quotePrefix="0" xfId="0">
      <alignment horizontal="general" vertical="bottom"/>
    </xf>
    <xf numFmtId="3" fontId="12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3" fontId="12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bottom"/>
    </xf>
    <xf numFmtId="11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4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8" fillId="2" borderId="0" applyAlignment="1" pivotButton="0" quotePrefix="0" xfId="0">
      <alignment horizontal="general" vertical="bottom"/>
    </xf>
    <xf numFmtId="3" fontId="8" fillId="2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general" vertical="bottom"/>
    </xf>
    <xf numFmtId="3" fontId="12" fillId="0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3" fontId="5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3" fontId="8" fillId="2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1" fontId="8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3" fontId="12" fillId="4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166" fontId="8" fillId="5" borderId="0" applyAlignment="1" pivotButton="0" quotePrefix="0" xfId="0">
      <alignment horizontal="general" vertical="bottom"/>
    </xf>
    <xf numFmtId="3" fontId="12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3" fontId="12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bottom"/>
    </xf>
    <xf numFmtId="11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4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8" fillId="2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" fontId="12" fillId="0" borderId="0" applyAlignment="1" pivotButton="0" quotePrefix="0" xfId="0">
      <alignment horizontal="general" vertical="bottom"/>
    </xf>
    <xf numFmtId="0" fontId="1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9" min="1" max="1"/>
    <col width="14" customWidth="1" style="49" min="2" max="2"/>
    <col width="78" customWidth="1" style="49" min="3" max="3"/>
  </cols>
  <sheetData>
    <row r="1" ht="19.5" customHeight="1" s="50">
      <c r="A1" s="51" t="inlineStr">
        <is>
          <t>クレジット経済 前提パラメータ(青字セルを変更して全体をチューニング)</t>
        </is>
      </c>
    </row>
    <row r="3" ht="16.5" customHeight="1" s="50">
      <c r="A3" s="52" t="inlineStr">
        <is>
          <t>v0:基準収入レート(月・Lv1・1隻=鉄1kg/秒相当、通貨/秒)</t>
        </is>
      </c>
      <c r="B3" s="53">
        <f>B11*B12</f>
        <v/>
      </c>
      <c r="C3" s="54" t="inlineStr">
        <is>
          <t>レート × 鉄基準価格 ≒ 2,762/秒。全収入・価格がVND桁で表示される</t>
        </is>
      </c>
    </row>
    <row r="4" ht="16.5" customHeight="1" s="50">
      <c r="A4" s="52" t="inlineStr">
        <is>
          <t>r:天体ごとの収入成長係数</t>
        </is>
      </c>
      <c r="B4" s="55" t="n">
        <v>1.32</v>
      </c>
      <c r="C4" s="54" t="inlineStr">
        <is>
          <t>開放順に v = v0 × r^No。50体で約80万倍</t>
        </is>
      </c>
    </row>
    <row r="5" ht="16.5" customHeight="1" s="50">
      <c r="A5" s="52" t="inlineStr">
        <is>
          <t>α:フロンティア係数</t>
        </is>
      </c>
      <c r="B5" s="55" t="n">
        <v>2.5</v>
      </c>
      <c r="C5" s="54" t="inlineStr">
        <is>
          <t>総収入 ≒ α × 最前線天体の収入レート(既開放天体+強化分の近似)</t>
        </is>
      </c>
    </row>
    <row r="6" ht="16.5" customHeight="1" s="50">
      <c r="A6" s="52" t="inlineStr">
        <is>
          <t>s:アンロックへの支出比率</t>
        </is>
      </c>
      <c r="B6" s="55" t="n">
        <v>0.5</v>
      </c>
      <c r="C6" s="54" t="inlineStr">
        <is>
          <t>収入のうち天体購入に回る割合(残りは強化・研究)</t>
        </is>
      </c>
    </row>
    <row r="7" ht="16.5" customHeight="1" s="50">
      <c r="A7" s="52" t="inlineStr">
        <is>
          <t>E:有効採掘時間(秒/日)</t>
        </is>
      </c>
      <c r="B7" s="56" t="n">
        <v>30000</v>
      </c>
      <c r="C7" s="54" t="inlineStr">
        <is>
          <t>約8.3h/日=オフライン2h×4回+オンライン。オフラインLv上げで増加</t>
        </is>
      </c>
    </row>
    <row r="8" ht="16.5" customHeight="1" s="50">
      <c r="A8" s="54" t="inlineStr">
        <is>
          <t>速度モデル:全船統一速度S(km/分)。「速度カーブ」シートでバンド別に定義</t>
        </is>
      </c>
      <c r="B8" s="55" t="n"/>
      <c r="C8" s="54" t="inlineStr">
        <is>
          <t>移動時間 = 実距離 ÷ S(線形式・例外なし)。Sは航行研究で成長</t>
        </is>
      </c>
    </row>
    <row r="9" ht="16.5" customHeight="1" s="50">
      <c r="A9" s="54" t="inlineStr">
        <is>
          <t>ブースト倍率(アイテム/広告・一時加速)</t>
        </is>
      </c>
      <c r="B9" s="57" t="n">
        <v>2</v>
      </c>
      <c r="C9" s="54" t="inlineStr">
        <is>
          <t>例:全船速度×2を10分間。倍率・持続は要検討</t>
        </is>
      </c>
    </row>
    <row r="10" ht="16.5" customHeight="1" s="50">
      <c r="A10" s="54" t="inlineStr">
        <is>
          <t>ブースト持続(分)</t>
        </is>
      </c>
      <c r="B10" s="58" t="n">
        <v>10</v>
      </c>
      <c r="C10" s="54" t="inlineStr">
        <is>
          <t>要検討</t>
        </is>
      </c>
    </row>
    <row r="11" ht="16.5" customHeight="1" s="50">
      <c r="A11" s="49" t="inlineStr">
        <is>
          <t>USD/VND レート(基準日 2026-07-11)</t>
        </is>
      </c>
      <c r="B11" s="56" t="n">
        <v>26300</v>
      </c>
      <c r="C11" s="59" t="inlineStr">
        <is>
          <t>ゲーム内通貨「NOVA」はVND相当額に固定(基準日レートで換算し、以後の為替変動は追わない)</t>
        </is>
      </c>
    </row>
    <row r="12" ht="16.5" customHeight="1" s="50">
      <c r="A12" s="59" t="inlineStr">
        <is>
          <t>鉄鉱石 基準価格(USD/kg・基準日)</t>
        </is>
      </c>
      <c r="B12" s="60" t="n">
        <v>0.105</v>
      </c>
      <c r="C12" s="49" t="inlineStr">
        <is>
          <t>$105.14/t(鉄鉱石62% CFR中国)</t>
        </is>
      </c>
    </row>
    <row r="13" ht="16.5" customHeight="1" s="50">
      <c r="A13" s="59" t="inlineStr">
        <is>
          <t>凡例:青字=入力値(変更可)/黒=数式/黄色=重要前提。数値はすべて叩き台であり、プレイテストで調整する。</t>
        </is>
      </c>
    </row>
    <row r="14" ht="16.5" customHeight="1" s="50">
      <c r="A14" s="59" t="inlineStr">
        <is>
          <t>設計方針:天体ごとの「収入レート」を主軸にバランスを取り、資源の内訳(単価×採取量)は資源マスタで後決めする。</t>
        </is>
      </c>
    </row>
    <row r="15" ht="16.5" customHeight="1" s="50">
      <c r="A15" s="59" t="inlineStr">
        <is>
          <t>ペース目標:B5小惑星帯=1週目 / B6木星圏=2週目 / B10到達=42日 / 最終セドナ=90日(天体マスタの目標日列で調整)。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49" min="1" max="1"/>
    <col width="10" customWidth="1" style="49" min="2" max="2"/>
    <col width="16" customWidth="1" style="49" min="3" max="3"/>
    <col width="20" customWidth="1" style="49" min="4" max="4"/>
    <col width="30" customWidth="1" style="49" min="5" max="5"/>
    <col width="70" customWidth="1" style="49" min="6" max="6"/>
  </cols>
  <sheetData>
    <row r="1" ht="19.5" customHeight="1" s="50">
      <c r="A1" s="51" t="inlineStr">
        <is>
          <t>資源マスタ ― VND基準・全面市況連動+金型金属追加版(基準日:2026-07-10/11、1USD=26,300VND)</t>
        </is>
      </c>
      <c r="B1" s="52" t="n"/>
      <c r="C1" s="52" t="n"/>
      <c r="D1" s="52" t="n"/>
      <c r="E1" s="52" t="n"/>
      <c r="F1" s="52" t="n"/>
      <c r="G1" s="52" t="n"/>
    </row>
    <row r="2" ht="15" customHeight="1" s="50">
      <c r="A2" s="52" t="n"/>
      <c r="B2" s="52" t="n"/>
      <c r="C2" s="52" t="n"/>
      <c r="D2" s="52" t="n"/>
      <c r="E2" s="52" t="n"/>
      <c r="F2" s="52" t="n"/>
      <c r="G2" s="52" t="n"/>
    </row>
    <row r="3" ht="16.5" customHeight="1" s="50">
      <c r="A3" s="61" t="inlineStr">
        <is>
          <t>資源</t>
        </is>
      </c>
      <c r="B3" s="61" t="inlineStr">
        <is>
          <t>連動区分</t>
        </is>
      </c>
      <c r="C3" s="61" t="inlineStr">
        <is>
          <t>実勢価格(USD/kg)</t>
        </is>
      </c>
      <c r="D3" s="61" t="inlineStr">
        <is>
          <t>ゲーム内単価(NOVA/kg)</t>
        </is>
      </c>
      <c r="E3" s="61" t="inlineStr">
        <is>
          <t>連動する市況指標</t>
        </is>
      </c>
      <c r="F3" s="61" t="inlineStr">
        <is>
          <t>備考(★金型=プレス金型材との関係)</t>
        </is>
      </c>
      <c r="G3" s="52" t="n"/>
    </row>
    <row r="4" ht="15" customHeight="1" s="50">
      <c r="A4" s="62" t="inlineStr">
        <is>
          <t>鉄</t>
        </is>
      </c>
      <c r="B4" s="62" t="inlineStr">
        <is>
          <t>★日次</t>
        </is>
      </c>
      <c r="C4" s="63" t="n">
        <v>0.105</v>
      </c>
      <c r="D4" s="64">
        <f>C4*パラメータ!$B$11</f>
        <v/>
      </c>
      <c r="E4" s="62" t="inlineStr">
        <is>
          <t>鉄鉱石62% CFR中国指数</t>
        </is>
      </c>
      <c r="F4" s="65" t="inlineStr">
        <is>
          <t>$105.14/t。基準資源。★金型:SS400・S45C等の母材</t>
        </is>
      </c>
      <c r="G4" s="52" t="n"/>
    </row>
    <row r="5" ht="16.5" customHeight="1" s="50">
      <c r="A5" s="62" t="inlineStr">
        <is>
          <t>石炭</t>
        </is>
      </c>
      <c r="B5" s="62" t="inlineStr">
        <is>
          <t>★日次</t>
        </is>
      </c>
      <c r="C5" s="63" t="n">
        <v>0.13</v>
      </c>
      <c r="D5" s="64">
        <f>C5*パラメータ!$B$11</f>
        <v/>
      </c>
      <c r="E5" s="65" t="inlineStr">
        <is>
          <t>ICE Newcastle石炭先物</t>
        </is>
      </c>
      <c r="F5" s="65" t="inlineStr">
        <is>
          <t>$129.75/t。地球限定第2資源(生物由来)</t>
        </is>
      </c>
      <c r="G5" s="52" t="n"/>
    </row>
    <row r="6" ht="15" customHeight="1" s="50">
      <c r="A6" s="62" t="inlineStr">
        <is>
          <t>メタン</t>
        </is>
      </c>
      <c r="B6" s="62" t="inlineStr">
        <is>
          <t>★日次</t>
        </is>
      </c>
      <c r="C6" s="63" t="n">
        <v>0.155</v>
      </c>
      <c r="D6" s="64">
        <f>C6*パラメータ!$B$11</f>
        <v/>
      </c>
      <c r="E6" s="62" t="inlineStr">
        <is>
          <t>天然ガス Henry Hub</t>
        </is>
      </c>
      <c r="F6" s="65" t="inlineStr">
        <is>
          <t>$2.95/MMBtu</t>
        </is>
      </c>
      <c r="G6" s="52" t="n"/>
    </row>
    <row r="7" ht="16.5" customHeight="1" s="50">
      <c r="A7" s="62" t="inlineStr">
        <is>
          <t>メタン氷</t>
        </is>
      </c>
      <c r="B7" s="62" t="inlineStr">
        <is>
          <t>★日次</t>
        </is>
      </c>
      <c r="C7" s="63" t="n">
        <v>0.155</v>
      </c>
      <c r="D7" s="64">
        <f>C7*パラメータ!$B$11</f>
        <v/>
      </c>
      <c r="E7" s="62" t="inlineStr">
        <is>
          <t>天然ガス Henry Hub</t>
        </is>
      </c>
      <c r="F7" s="62" t="inlineStr">
        <is>
          <t>メタンと同一指標</t>
        </is>
      </c>
      <c r="G7" s="52" t="n"/>
    </row>
    <row r="8" ht="15" customHeight="1" s="50">
      <c r="A8" s="62" t="inlineStr">
        <is>
          <t>炭化水素</t>
        </is>
      </c>
      <c r="B8" s="62" t="inlineStr">
        <is>
          <t>★日次</t>
        </is>
      </c>
      <c r="C8" s="63" t="n">
        <v>0.525</v>
      </c>
      <c r="D8" s="64">
        <f>C8*パラメータ!$B$11</f>
        <v/>
      </c>
      <c r="E8" s="65" t="inlineStr">
        <is>
          <t>WTI原油先物</t>
        </is>
      </c>
      <c r="F8" s="65" t="inlineStr">
        <is>
          <t>$71.97/bbl。タイタン限定</t>
        </is>
      </c>
      <c r="G8" s="52" t="n"/>
    </row>
    <row r="9" ht="15" customHeight="1" s="50">
      <c r="A9" s="62" t="inlineStr">
        <is>
          <t>木材</t>
        </is>
      </c>
      <c r="B9" s="62" t="inlineStr">
        <is>
          <t>★日次</t>
        </is>
      </c>
      <c r="C9" s="63" t="n">
        <v>0.55</v>
      </c>
      <c r="D9" s="64">
        <f>C9*パラメータ!$B$11</f>
        <v/>
      </c>
      <c r="E9" s="65" t="inlineStr">
        <is>
          <t>CME材木先物</t>
        </is>
      </c>
      <c r="F9" s="65" t="inlineStr">
        <is>
          <t>$622.5/千bf。地球限定</t>
        </is>
      </c>
      <c r="G9" s="52" t="n"/>
    </row>
    <row r="10" ht="15" customHeight="1" s="50">
      <c r="A10" s="62" t="inlineStr">
        <is>
          <t>鉛</t>
        </is>
      </c>
      <c r="B10" s="62" t="inlineStr">
        <is>
          <t>★日次</t>
        </is>
      </c>
      <c r="C10" s="66" t="n">
        <v>2</v>
      </c>
      <c r="D10" s="64">
        <f>C10*パラメータ!$B$11</f>
        <v/>
      </c>
      <c r="E10" s="65" t="inlineStr">
        <is>
          <t>LME鉛</t>
        </is>
      </c>
      <c r="F10" s="62" t="inlineStr">
        <is>
          <t>約$2,000/t</t>
        </is>
      </c>
      <c r="G10" s="52" t="n"/>
    </row>
    <row r="11" ht="15" customHeight="1" s="50">
      <c r="A11" s="67" t="inlineStr">
        <is>
          <t>クロム</t>
        </is>
      </c>
      <c r="B11" s="67" t="inlineStr">
        <is>
          <t>◆週次</t>
        </is>
      </c>
      <c r="C11" s="68" t="n">
        <v>2.8</v>
      </c>
      <c r="D11" s="69">
        <f>C11*パラメータ!$B$11</f>
        <v/>
      </c>
      <c r="E11" s="67" t="inlineStr">
        <is>
          <t>フェロクロム(Cr分・週次指標)</t>
        </is>
      </c>
      <c r="F11" s="67" t="inlineStr">
        <is>
          <t>概算・要確認。★金型:SKD11の13%Cr・DC53の8%Cr、硬質クロムめっき</t>
        </is>
      </c>
      <c r="G11" s="52" t="n"/>
    </row>
    <row r="12" ht="16.5" customHeight="1" s="50">
      <c r="A12" s="62" t="inlineStr">
        <is>
          <t>アルミニウム</t>
        </is>
      </c>
      <c r="B12" s="62" t="inlineStr">
        <is>
          <t>★日次</t>
        </is>
      </c>
      <c r="C12" s="66" t="n">
        <v>3.15</v>
      </c>
      <c r="D12" s="64">
        <f>C12*パラメータ!$B$11</f>
        <v/>
      </c>
      <c r="E12" s="65" t="inlineStr">
        <is>
          <t>LMEアルミニウム</t>
        </is>
      </c>
      <c r="F12" s="62" t="inlineStr">
        <is>
          <t>約$3,150/t。月の斜長石に豊富(実在)</t>
        </is>
      </c>
      <c r="G12" s="52" t="n"/>
    </row>
    <row r="13" ht="16.5" customHeight="1" s="50">
      <c r="A13" s="62" t="inlineStr">
        <is>
          <t>亜鉛</t>
        </is>
      </c>
      <c r="B13" s="62" t="inlineStr">
        <is>
          <t>★日次</t>
        </is>
      </c>
      <c r="C13" s="66" t="n">
        <v>3.2</v>
      </c>
      <c r="D13" s="64">
        <f>C13*パラメータ!$B$11</f>
        <v/>
      </c>
      <c r="E13" s="65" t="inlineStr">
        <is>
          <t>LME亜鉛</t>
        </is>
      </c>
      <c r="F13" s="62" t="inlineStr">
        <is>
          <t>約$3,200/t。★金型:亜鉛合金(ZAS)試作型</t>
        </is>
      </c>
      <c r="G13" s="52" t="n"/>
    </row>
    <row r="14" ht="15" customHeight="1" s="50">
      <c r="A14" s="62" t="inlineStr">
        <is>
          <t>銅</t>
        </is>
      </c>
      <c r="B14" s="62" t="inlineStr">
        <is>
          <t>★日次</t>
        </is>
      </c>
      <c r="C14" s="66" t="n">
        <v>12.8</v>
      </c>
      <c r="D14" s="64">
        <f>C14*パラメータ!$B$11</f>
        <v/>
      </c>
      <c r="E14" s="65" t="inlineStr">
        <is>
          <t>LME銅</t>
        </is>
      </c>
      <c r="F14" s="62" t="inlineStr">
        <is>
          <t>約$12,800/t・史上高値圏。★金型:放電加工電極・端子プレス材</t>
        </is>
      </c>
      <c r="G14" s="52" t="n"/>
    </row>
    <row r="15" ht="15" customHeight="1" s="50">
      <c r="A15" s="62" t="inlineStr">
        <is>
          <t>ニッケル</t>
        </is>
      </c>
      <c r="B15" s="62" t="inlineStr">
        <is>
          <t>★日次</t>
        </is>
      </c>
      <c r="C15" s="66" t="n">
        <v>16.4</v>
      </c>
      <c r="D15" s="64">
        <f>C15*パラメータ!$B$11</f>
        <v/>
      </c>
      <c r="E15" s="65" t="inlineStr">
        <is>
          <t>LMEニッケル</t>
        </is>
      </c>
      <c r="F15" s="65" t="inlineStr">
        <is>
          <t>$16,400/t</t>
        </is>
      </c>
      <c r="G15" s="52" t="n"/>
    </row>
    <row r="16" ht="16.5" customHeight="1" s="50">
      <c r="A16" s="67" t="inlineStr">
        <is>
          <t>バナジウム</t>
        </is>
      </c>
      <c r="B16" s="67" t="inlineStr">
        <is>
          <t>◆週次</t>
        </is>
      </c>
      <c r="C16" s="68" t="n">
        <v>30</v>
      </c>
      <c r="D16" s="69">
        <f>C16*パラメータ!$B$11</f>
        <v/>
      </c>
      <c r="E16" s="67" t="inlineStr">
        <is>
          <t>フェロバナジウム(V分・週次指標)</t>
        </is>
      </c>
      <c r="F16" s="67" t="inlineStr">
        <is>
          <t>概算・要確認。★金型:工具鋼の"V"=炭化物で耐摩耗性向上</t>
        </is>
      </c>
      <c r="G16" s="52" t="n"/>
    </row>
    <row r="17" ht="16.5" customHeight="1" s="50">
      <c r="A17" s="62" t="inlineStr">
        <is>
          <t>コバルト</t>
        </is>
      </c>
      <c r="B17" s="62" t="inlineStr">
        <is>
          <t>★日次</t>
        </is>
      </c>
      <c r="C17" s="66" t="n">
        <v>35</v>
      </c>
      <c r="D17" s="64">
        <f>C17*パラメータ!$B$11</f>
        <v/>
      </c>
      <c r="E17" s="65" t="inlineStr">
        <is>
          <t>LMEコバルト</t>
        </is>
      </c>
      <c r="F17" s="62" t="inlineStr">
        <is>
          <t>概算・要確認。★金型:超硬合金のバインダー・SKH51の"Co"</t>
        </is>
      </c>
      <c r="G17" s="52" t="n"/>
    </row>
    <row r="18" ht="15" customHeight="1" s="50">
      <c r="A18" s="62" t="inlineStr">
        <is>
          <t>錫</t>
        </is>
      </c>
      <c r="B18" s="62" t="inlineStr">
        <is>
          <t>★日次</t>
        </is>
      </c>
      <c r="C18" s="66" t="n">
        <v>52</v>
      </c>
      <c r="D18" s="64">
        <f>C18*パラメータ!$B$11</f>
        <v/>
      </c>
      <c r="E18" s="65" t="inlineStr">
        <is>
          <t>LME錫</t>
        </is>
      </c>
      <c r="F18" s="62" t="inlineStr">
        <is>
          <t>約$52,000/t</t>
        </is>
      </c>
      <c r="G18" s="52" t="n"/>
    </row>
    <row r="19" ht="15" customHeight="1" s="50">
      <c r="A19" s="67" t="inlineStr">
        <is>
          <t>モリブデン</t>
        </is>
      </c>
      <c r="B19" s="67" t="inlineStr">
        <is>
          <t>◆週次</t>
        </is>
      </c>
      <c r="C19" s="68" t="n">
        <v>55</v>
      </c>
      <c r="D19" s="69">
        <f>C19*パラメータ!$B$11</f>
        <v/>
      </c>
      <c r="E19" s="67" t="inlineStr">
        <is>
          <t>酸化モリブデン(週次指標)</t>
        </is>
      </c>
      <c r="F19" s="67" t="inlineStr">
        <is>
          <t>概算・要確認。★金型:SKD11/DC53/SKH51の"Mo"=焼入れ性・靭性</t>
        </is>
      </c>
      <c r="G19" s="52" t="n"/>
    </row>
    <row r="20" ht="16.5" customHeight="1" s="50">
      <c r="A20" s="62" t="inlineStr">
        <is>
          <t>タングステン</t>
        </is>
      </c>
      <c r="B20" s="62" t="inlineStr">
        <is>
          <t>★日次</t>
        </is>
      </c>
      <c r="C20" s="66" t="n">
        <v>177</v>
      </c>
      <c r="D20" s="64">
        <f>C20*パラメータ!$B$11</f>
        <v/>
      </c>
      <c r="E20" s="65" t="inlineStr">
        <is>
          <t>SMMタングステン(中国国内)</t>
        </is>
      </c>
      <c r="F20" s="65" t="inlineStr">
        <is>
          <t>$177.37/kg(2026-06)。2025年比+550%の歴史的高騰(中国輸出規制)。★金型:超硬合金(WC)の主成分・SKH51の"W"</t>
        </is>
      </c>
      <c r="G20" s="52" t="n"/>
    </row>
    <row r="21" ht="16.5" customHeight="1" s="50">
      <c r="A21" s="67" t="inlineStr">
        <is>
          <t>ウラン</t>
        </is>
      </c>
      <c r="B21" s="67" t="inlineStr">
        <is>
          <t>◆週次</t>
        </is>
      </c>
      <c r="C21" s="68" t="n">
        <v>170</v>
      </c>
      <c r="D21" s="69">
        <f>C21*パラメータ!$B$11</f>
        <v/>
      </c>
      <c r="E21" s="70" t="inlineStr">
        <is>
          <t>U3O8スポット(週次公表)</t>
        </is>
      </c>
      <c r="F21" s="67" t="inlineStr">
        <is>
          <t>約$77/lb・概算要確認。月KREEP地域(推定)</t>
        </is>
      </c>
      <c r="G21" s="52" t="n"/>
    </row>
    <row r="22" ht="16.5" customHeight="1" s="50">
      <c r="A22" s="62" t="inlineStr">
        <is>
          <t>銀</t>
        </is>
      </c>
      <c r="B22" s="62" t="inlineStr">
        <is>
          <t>★日次</t>
        </is>
      </c>
      <c r="C22" s="66" t="n">
        <v>1921</v>
      </c>
      <c r="D22" s="64">
        <f>C22*パラメータ!$B$11</f>
        <v/>
      </c>
      <c r="E22" s="62" t="inlineStr">
        <is>
          <t>銀スポット</t>
        </is>
      </c>
      <c r="F22" s="65" t="inlineStr">
        <is>
          <t>$59.76/toz</t>
        </is>
      </c>
      <c r="G22" s="52" t="n"/>
    </row>
    <row r="23" ht="16.5" customHeight="1" s="50">
      <c r="A23" s="62" t="inlineStr">
        <is>
          <t>パラジウム</t>
        </is>
      </c>
      <c r="B23" s="62" t="inlineStr">
        <is>
          <t>★日次</t>
        </is>
      </c>
      <c r="C23" s="66" t="n">
        <v>41150</v>
      </c>
      <c r="D23" s="64">
        <f>C23*パラメータ!$B$11</f>
        <v/>
      </c>
      <c r="E23" s="62" t="inlineStr">
        <is>
          <t>パラジウムスポット</t>
        </is>
      </c>
      <c r="F23" s="65" t="inlineStr">
        <is>
          <t>$1,280/toz</t>
        </is>
      </c>
      <c r="G23" s="52" t="n"/>
    </row>
    <row r="24" ht="16.5" customHeight="1" s="50">
      <c r="A24" s="62" t="inlineStr">
        <is>
          <t>白金</t>
        </is>
      </c>
      <c r="B24" s="62" t="inlineStr">
        <is>
          <t>★日次</t>
        </is>
      </c>
      <c r="C24" s="66" t="n">
        <v>52460</v>
      </c>
      <c r="D24" s="64">
        <f>C24*パラメータ!$B$11</f>
        <v/>
      </c>
      <c r="E24" s="62" t="inlineStr">
        <is>
          <t>白金スポット</t>
        </is>
      </c>
      <c r="F24" s="65" t="inlineStr">
        <is>
          <t>$1,631.8/toz</t>
        </is>
      </c>
      <c r="G24" s="52" t="n"/>
    </row>
    <row r="25" ht="15" customHeight="1" s="50">
      <c r="A25" s="62" t="inlineStr">
        <is>
          <t>金</t>
        </is>
      </c>
      <c r="B25" s="62" t="inlineStr">
        <is>
          <t>★日次</t>
        </is>
      </c>
      <c r="C25" s="66" t="n">
        <v>132430</v>
      </c>
      <c r="D25" s="64">
        <f>C25*パラメータ!$B$11</f>
        <v/>
      </c>
      <c r="E25" s="62" t="inlineStr">
        <is>
          <t>金スポット</t>
        </is>
      </c>
      <c r="F25" s="65" t="inlineStr">
        <is>
          <t>$4,119/toz</t>
        </is>
      </c>
      <c r="G25" s="52" t="n"/>
    </row>
    <row r="26" ht="15" customHeight="1" s="50">
      <c r="A26" s="62" t="inlineStr">
        <is>
          <t>ロジウム</t>
        </is>
      </c>
      <c r="B26" s="62" t="inlineStr">
        <is>
          <t>★日次</t>
        </is>
      </c>
      <c r="C26" s="66" t="n">
        <v>266900</v>
      </c>
      <c r="D26" s="64">
        <f>C26*パラメータ!$B$11</f>
        <v/>
      </c>
      <c r="E26" s="62" t="inlineStr">
        <is>
          <t>ロジウム(Kitco気配)</t>
        </is>
      </c>
      <c r="F26" s="65" t="inlineStr">
        <is>
          <t>$8,300/toz</t>
        </is>
      </c>
      <c r="G26" s="52" t="n"/>
    </row>
    <row r="27" ht="15" customHeight="1" s="50">
      <c r="A27" s="54" t="inlineStr">
        <is>
          <t>水</t>
        </is>
      </c>
      <c r="B27" s="54" t="inlineStr">
        <is>
          <t>固定</t>
        </is>
      </c>
      <c r="C27" s="71" t="n">
        <v>0.001</v>
      </c>
      <c r="D27" s="72">
        <f>C27*パラメータ!$B$11</f>
        <v/>
      </c>
      <c r="E27" s="52" t="inlineStr">
        <is>
          <t>―</t>
        </is>
      </c>
      <c r="F27" s="54" t="inlineStr">
        <is>
          <t>素材資源(売り物ではなく研究・生命維持用)</t>
        </is>
      </c>
      <c r="G27" s="52" t="n"/>
    </row>
    <row r="28" ht="15" customHeight="1" s="50">
      <c r="A28" s="54" t="inlineStr">
        <is>
          <t>硫黄</t>
        </is>
      </c>
      <c r="B28" s="54" t="inlineStr">
        <is>
          <t>固定</t>
        </is>
      </c>
      <c r="C28" s="71" t="n">
        <v>0.15</v>
      </c>
      <c r="D28" s="72">
        <f>C28*パラメータ!$B$11</f>
        <v/>
      </c>
      <c r="E28" s="52" t="inlineStr">
        <is>
          <t>―</t>
        </is>
      </c>
      <c r="F28" s="54" t="inlineStr">
        <is>
          <t>素材資源。水星(高濃度・実在)・イオ</t>
        </is>
      </c>
      <c r="G28" s="52" t="n"/>
    </row>
    <row r="29" ht="15" customHeight="1" s="50">
      <c r="A29" s="54" t="inlineStr">
        <is>
          <t>窒素氷</t>
        </is>
      </c>
      <c r="B29" s="54" t="inlineStr">
        <is>
          <t>固定</t>
        </is>
      </c>
      <c r="C29" s="71" t="n">
        <v>0.2</v>
      </c>
      <c r="D29" s="72">
        <f>C29*パラメータ!$B$11</f>
        <v/>
      </c>
      <c r="E29" s="52" t="inlineStr">
        <is>
          <t>―</t>
        </is>
      </c>
      <c r="F29" s="54" t="inlineStr">
        <is>
          <t>素材資源</t>
        </is>
      </c>
      <c r="G29" s="52" t="n"/>
    </row>
    <row r="30" ht="15" customHeight="1" s="50">
      <c r="A30" s="54" t="inlineStr">
        <is>
          <t>炭素質(水・有機物)</t>
        </is>
      </c>
      <c r="B30" s="54" t="inlineStr">
        <is>
          <t>固定</t>
        </is>
      </c>
      <c r="C30" s="71" t="n">
        <v>0.4</v>
      </c>
      <c r="D30" s="72">
        <f>C30*パラメータ!$B$11</f>
        <v/>
      </c>
      <c r="E30" s="52" t="inlineStr">
        <is>
          <t>―</t>
        </is>
      </c>
      <c r="F30" s="54" t="inlineStr">
        <is>
          <t>素材資源(ゲーム用設定)</t>
        </is>
      </c>
      <c r="G30" s="52" t="n"/>
    </row>
    <row r="31" ht="16.5" customHeight="1" s="50">
      <c r="A31" s="54" t="inlineStr">
        <is>
          <t>アンモニア</t>
        </is>
      </c>
      <c r="B31" s="54" t="inlineStr">
        <is>
          <t>固定</t>
        </is>
      </c>
      <c r="C31" s="71" t="n">
        <v>0.5</v>
      </c>
      <c r="D31" s="72">
        <f>C31*パラメータ!$B$11</f>
        <v/>
      </c>
      <c r="E31" s="52" t="inlineStr">
        <is>
          <t>―</t>
        </is>
      </c>
      <c r="F31" s="54" t="inlineStr">
        <is>
          <t>素材資源</t>
        </is>
      </c>
      <c r="G31" s="52" t="n"/>
    </row>
    <row r="32" ht="16.5" customHeight="1" s="50">
      <c r="A32" s="54" t="inlineStr">
        <is>
          <t>水素</t>
        </is>
      </c>
      <c r="B32" s="54" t="inlineStr">
        <is>
          <t>固定</t>
        </is>
      </c>
      <c r="C32" s="73" t="n">
        <v>4</v>
      </c>
      <c r="D32" s="72">
        <f>C32*パラメータ!$B$11</f>
        <v/>
      </c>
      <c r="E32" s="52" t="inlineStr">
        <is>
          <t>―</t>
        </is>
      </c>
      <c r="F32" s="54" t="inlineStr">
        <is>
          <t>素材資源(推進剤)</t>
        </is>
      </c>
      <c r="G32" s="52" t="n"/>
    </row>
    <row r="33" ht="15" customHeight="1" s="50">
      <c r="A33" s="54" t="inlineStr">
        <is>
          <t>チタン</t>
        </is>
      </c>
      <c r="B33" s="54" t="inlineStr">
        <is>
          <t>固定</t>
        </is>
      </c>
      <c r="C33" s="73" t="n">
        <v>9</v>
      </c>
      <c r="D33" s="72">
        <f>C33*パラメータ!$B$11</f>
        <v/>
      </c>
      <c r="E33" s="52" t="inlineStr">
        <is>
          <t>―(四半期見直し)</t>
        </is>
      </c>
      <c r="F33" s="54" t="inlineStr">
        <is>
          <t>★金型ではないが構造材の定番。収入資源</t>
        </is>
      </c>
      <c r="G33" s="52" t="n"/>
    </row>
    <row r="34" ht="16.5" customHeight="1" s="50">
      <c r="A34" s="54" t="inlineStr">
        <is>
          <t>ヘリウム</t>
        </is>
      </c>
      <c r="B34" s="54" t="inlineStr">
        <is>
          <t>固定</t>
        </is>
      </c>
      <c r="C34" s="73" t="n">
        <v>60</v>
      </c>
      <c r="D34" s="72">
        <f>C34*パラメータ!$B$11</f>
        <v/>
      </c>
      <c r="E34" s="52" t="inlineStr">
        <is>
          <t>―</t>
        </is>
      </c>
      <c r="F34" s="52" t="n"/>
      <c r="G34" s="52" t="n"/>
    </row>
    <row r="35" ht="16.5" customHeight="1" s="50">
      <c r="A35" s="54" t="inlineStr">
        <is>
          <t>ヘリウム3</t>
        </is>
      </c>
      <c r="B35" s="54" t="inlineStr">
        <is>
          <t>固定</t>
        </is>
      </c>
      <c r="C35" s="52" t="inlineStr">
        <is>
          <t>―</t>
        </is>
      </c>
      <c r="D35" s="74" t="n">
        <v>100000000000</v>
      </c>
      <c r="E35" s="52" t="inlineStr">
        <is>
          <t>―</t>
        </is>
      </c>
      <c r="F35" s="54" t="inlineStr">
        <is>
          <t>外縁バンドの収入アンカー(天王星・海王星が現実の採取構想の本命)</t>
        </is>
      </c>
      <c r="G35" s="52" t="n"/>
    </row>
    <row r="36" ht="16.5" customHeight="1" s="50">
      <c r="A36" s="54" t="inlineStr">
        <is>
          <t>希少物質</t>
        </is>
      </c>
      <c r="B36" s="54" t="inlineStr">
        <is>
          <t>固定</t>
        </is>
      </c>
      <c r="C36" s="52" t="inlineStr">
        <is>
          <t>―</t>
        </is>
      </c>
      <c r="D36" s="74" t="n">
        <v>500000000000</v>
      </c>
      <c r="E36" s="52" t="inlineStr">
        <is>
          <t>―</t>
        </is>
      </c>
      <c r="F36" s="54" t="inlineStr">
        <is>
          <t>ゲーム用設定・最上位(架空)</t>
        </is>
      </c>
      <c r="G36" s="52" t="n"/>
    </row>
    <row r="37" ht="16.5" customHeight="1" s="50">
      <c r="A37" s="52" t="n"/>
      <c r="B37" s="52" t="n"/>
      <c r="C37" s="52" t="n"/>
      <c r="D37" s="52" t="n"/>
      <c r="E37" s="52" t="n"/>
      <c r="F37" s="52" t="n"/>
      <c r="G37" s="52" t="n"/>
    </row>
    <row r="38" ht="16.5" customHeight="1" s="50">
      <c r="A38" s="54" t="inlineStr">
        <is>
          <t>【連動範囲】日次19+週次4=計23系統が市況連動、固定10、計33資源。★金型印は「マーケット(相場モニター)」機能の金属図鑑でプレス金型材との関係を解説する対象。</t>
        </is>
      </c>
      <c r="B38" s="52" t="n"/>
      <c r="C38" s="52" t="n"/>
      <c r="D38" s="52" t="n"/>
      <c r="E38" s="52" t="n"/>
      <c r="F38" s="52" t="n"/>
      <c r="G38" s="52" t="n"/>
    </row>
    <row r="39" ht="15" customHeight="1" s="50">
      <c r="A39" s="54" t="inlineStr">
        <is>
          <t>【金型金属の配置】タングステン・モリブデン=親鉄元素→M型小惑星(ルテティア等・推定)。クロム=月・ベスタ(クロマイト・実在根拠)。バナジウム=分化小惑星(推定)。</t>
        </is>
      </c>
      <c r="B39" s="52" t="n"/>
      <c r="C39" s="52" t="n"/>
      <c r="D39" s="52" t="n"/>
      <c r="E39" s="52" t="n"/>
      <c r="F39" s="52" t="n"/>
      <c r="G39" s="52" t="n"/>
    </row>
    <row r="40" ht="15" customHeight="1" s="50">
      <c r="A40" s="54" t="inlineStr">
        <is>
          <t>【教育ネタ】タングステンは2025年初比+550%の歴史的高騰(中国輸出規制)=超硬工具コストに直撃する実例。図鑑・市況パネルの「今日の一言」で扱う。</t>
        </is>
      </c>
      <c r="B40" s="52" t="n"/>
      <c r="C40" s="52" t="n"/>
      <c r="D40" s="52" t="n"/>
      <c r="E40" s="52" t="n"/>
      <c r="F40" s="52" t="n"/>
      <c r="G40" s="52" t="n"/>
    </row>
    <row r="41" ht="16.5" customHeight="1" s="50">
      <c r="A41" s="54" t="inlineStr">
        <is>
          <t>【週次指標の注意】Cr/Mo/V/W詳細/U はFastmarkets・AsianMetal・SMM等の購読系。商用利用はライセンス契約必須。社内ダッシュボード用途なら購読1契約で兼用可。</t>
        </is>
      </c>
      <c r="B41" s="54" t="n"/>
      <c r="C41" s="54" t="n"/>
      <c r="D41" s="54" t="n"/>
      <c r="E41" s="54" t="n"/>
      <c r="F41" s="54" t="n"/>
      <c r="G41" s="54" t="n"/>
    </row>
    <row r="42" ht="16.5" customHeight="1" s="50">
      <c r="A42" s="54" t="inlineStr">
        <is>
          <t>【換算】NOVA単価 = 当日USD/kg × 26,300。日次±10%・基準日比±50%クランプ。</t>
        </is>
      </c>
      <c r="B42" s="54" t="n"/>
      <c r="C42" s="54" t="n"/>
      <c r="D42" s="54" t="n"/>
      <c r="E42" s="54" t="n"/>
      <c r="F42" s="54" t="n"/>
      <c r="G42" s="54" t="n"/>
    </row>
    <row r="43" ht="15" customHeight="1" s="50">
      <c r="A43" s="54" t="n"/>
      <c r="B43" s="54" t="n"/>
      <c r="C43" s="54" t="n"/>
      <c r="D43" s="54" t="n"/>
      <c r="E43" s="54" t="n"/>
      <c r="F43" s="54" t="n"/>
      <c r="G43" s="54" t="n"/>
    </row>
    <row r="44" ht="15" customHeight="1" s="50">
      <c r="A44" s="54" t="n"/>
      <c r="B44" s="54" t="n"/>
      <c r="C44" s="54" t="n"/>
      <c r="D44" s="54" t="n"/>
      <c r="E44" s="54" t="n"/>
      <c r="F44" s="54" t="n"/>
      <c r="G44" s="54" t="n"/>
    </row>
    <row r="45" ht="15" customHeight="1" s="50">
      <c r="A45" s="54" t="n"/>
      <c r="B45" s="54" t="n"/>
      <c r="C45" s="54" t="n"/>
      <c r="D45" s="54" t="n"/>
      <c r="E45" s="54" t="n"/>
      <c r="F45" s="54" t="n"/>
      <c r="G45" s="5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9" min="1" max="1"/>
    <col width="6" customWidth="1" style="49" min="2" max="2"/>
    <col width="26" customWidth="1" style="49" min="3" max="3"/>
    <col width="10" customWidth="1" style="49" min="4" max="4"/>
    <col width="13" customWidth="1" style="49" min="5" max="5"/>
    <col width="11" customWidth="1" style="49" min="6" max="6"/>
    <col width="18" customWidth="1" style="49" min="7" max="7"/>
    <col width="8" customWidth="1" style="49" min="8" max="8"/>
    <col width="18" customWidth="1" style="49" min="9" max="9"/>
    <col width="13" customWidth="1" style="49" min="10" max="10"/>
    <col width="28" customWidth="1" style="49" min="11" max="11"/>
    <col width="30" customWidth="1" style="49" min="12" max="12"/>
  </cols>
  <sheetData>
    <row r="1" ht="19.5" customHeight="1" s="50">
      <c r="A1" s="51" t="inlineStr">
        <is>
          <t>天体マスタ(50天体)距離・目標日=青字入力、収入レート・価格・片道時間=数式</t>
        </is>
      </c>
    </row>
    <row r="3" ht="16.5" customHeight="1" s="50">
      <c r="A3" s="75" t="inlineStr">
        <is>
          <t>No</t>
        </is>
      </c>
      <c r="B3" s="61" t="inlineStr">
        <is>
          <t>バンド</t>
        </is>
      </c>
      <c r="C3" s="61" t="inlineStr">
        <is>
          <t>天体名</t>
        </is>
      </c>
      <c r="D3" s="61" t="inlineStr">
        <is>
          <t>区分</t>
        </is>
      </c>
      <c r="E3" s="61" t="inlineStr">
        <is>
          <t>距離目安(km)</t>
        </is>
      </c>
      <c r="F3" s="61" t="inlineStr">
        <is>
          <t>目標開放日</t>
        </is>
      </c>
      <c r="G3" s="61" t="inlineStr">
        <is>
          <t>収入レートv(cr/秒)</t>
        </is>
      </c>
      <c r="H3" s="75" t="inlineStr">
        <is>
          <t>Δt(日)</t>
        </is>
      </c>
      <c r="I3" s="61" t="inlineStr">
        <is>
          <t>アンロック価格(cr)</t>
        </is>
      </c>
      <c r="J3" s="61" t="inlineStr">
        <is>
          <t>片道時間(分・開放時点)</t>
        </is>
      </c>
      <c r="K3" s="61" t="inlineStr">
        <is>
          <t>主資源</t>
        </is>
      </c>
      <c r="L3" s="61" t="inlineStr">
        <is>
          <t>備考</t>
        </is>
      </c>
    </row>
    <row r="4" ht="16.5" customHeight="1" s="50">
      <c r="A4" s="52" t="n">
        <v>0</v>
      </c>
      <c r="B4" s="52" t="inlineStr">
        <is>
          <t>B1</t>
        </is>
      </c>
      <c r="C4" s="54" t="inlineStr">
        <is>
          <t>月</t>
        </is>
      </c>
      <c r="D4" s="54" t="inlineStr">
        <is>
          <t>衛星</t>
        </is>
      </c>
      <c r="E4" s="76" t="n">
        <v>380000</v>
      </c>
      <c r="F4" s="77" t="n">
        <v>0</v>
      </c>
      <c r="G4" s="78">
        <f>パラメータ!$B$3*パラメータ!$B$4^A4</f>
        <v/>
      </c>
      <c r="H4" s="52" t="n">
        <v>0</v>
      </c>
      <c r="I4" s="52" t="n">
        <v>0</v>
      </c>
      <c r="J4" s="79">
        <f>E4/INDEX(速度カーブ!$D$4:$D$13,MATCH(B4,速度カーブ!$A$4:$A$13,0))</f>
        <v/>
      </c>
      <c r="K4" s="54" t="inlineStr">
        <is>
          <t>鉄・チタン・アルミニウム・He3(推定)・ウラン(KREEP・推定)</t>
        </is>
      </c>
      <c r="L4" s="54" t="inlineStr">
        <is>
          <t>チュートリアルで無償開放</t>
        </is>
      </c>
    </row>
    <row r="5" ht="15" customHeight="1" s="50">
      <c r="A5" s="52" t="n">
        <v>1</v>
      </c>
      <c r="B5" s="52" t="inlineStr">
        <is>
          <t>B2</t>
        </is>
      </c>
      <c r="C5" s="54" t="inlineStr">
        <is>
          <t>エロス</t>
        </is>
      </c>
      <c r="D5" s="54" t="inlineStr">
        <is>
          <t>小惑星</t>
        </is>
      </c>
      <c r="E5" s="76" t="n">
        <v>8000000</v>
      </c>
      <c r="F5" s="77" t="n">
        <v>0.2</v>
      </c>
      <c r="G5" s="78">
        <f>パラメータ!$B$3*パラメータ!$B$4^A5</f>
        <v/>
      </c>
      <c r="H5" s="80">
        <f>F5-F4</f>
        <v/>
      </c>
      <c r="I5" s="72">
        <f>ROUND(パラメータ!$B$5*G4*H5*パラメータ!$B$7*パラメータ!$B$6,-2)</f>
        <v/>
      </c>
      <c r="J5" s="79">
        <f>E5/INDEX(速度カーブ!$D$4:$D$13,MATCH(B5,速度カーブ!$A$4:$A$13,0))</f>
        <v/>
      </c>
      <c r="K5" s="54" t="inlineStr">
        <is>
          <t>鉄・ニッケル</t>
        </is>
      </c>
      <c r="L5" s="52" t="n"/>
    </row>
    <row r="6" ht="15" customHeight="1" s="50">
      <c r="A6" s="52" t="n">
        <v>2</v>
      </c>
      <c r="B6" s="52" t="inlineStr">
        <is>
          <t>B2</t>
        </is>
      </c>
      <c r="C6" s="54" t="inlineStr">
        <is>
          <t>イトカワ</t>
        </is>
      </c>
      <c r="D6" s="54" t="inlineStr">
        <is>
          <t>小惑星</t>
        </is>
      </c>
      <c r="E6" s="76" t="n">
        <v>12000000</v>
      </c>
      <c r="F6" s="77" t="n">
        <v>0.5</v>
      </c>
      <c r="G6" s="78">
        <f>パラメータ!$B$3*パラメータ!$B$4^A6</f>
        <v/>
      </c>
      <c r="H6" s="80">
        <f>F6-F5</f>
        <v/>
      </c>
      <c r="I6" s="72">
        <f>ROUND(パラメータ!$B$5*G5*H6*パラメータ!$B$7*パラメータ!$B$6,-2)</f>
        <v/>
      </c>
      <c r="J6" s="79">
        <f>E6/INDEX(速度カーブ!$D$4:$D$13,MATCH(B6,速度カーブ!$A$4:$A$13,0))</f>
        <v/>
      </c>
      <c r="K6" s="54" t="inlineStr">
        <is>
          <t>鉄・ニッケル</t>
        </is>
      </c>
      <c r="L6" s="52" t="n"/>
    </row>
    <row r="7" ht="16.5" customHeight="1" s="50">
      <c r="A7" s="52" t="n">
        <v>3</v>
      </c>
      <c r="B7" s="52" t="inlineStr">
        <is>
          <t>B2</t>
        </is>
      </c>
      <c r="C7" s="54" t="inlineStr">
        <is>
          <t>リュウグウ</t>
        </is>
      </c>
      <c r="D7" s="54" t="inlineStr">
        <is>
          <t>小惑星</t>
        </is>
      </c>
      <c r="E7" s="76" t="n">
        <v>18000000</v>
      </c>
      <c r="F7" s="77" t="n">
        <v>1</v>
      </c>
      <c r="G7" s="78">
        <f>パラメータ!$B$3*パラメータ!$B$4^A7</f>
        <v/>
      </c>
      <c r="H7" s="80">
        <f>F7-F6</f>
        <v/>
      </c>
      <c r="I7" s="72">
        <f>ROUND(パラメータ!$B$5*G6*H7*パラメータ!$B$7*パラメータ!$B$6,-2)</f>
        <v/>
      </c>
      <c r="J7" s="79">
        <f>E7/INDEX(速度カーブ!$D$4:$D$13,MATCH(B7,速度カーブ!$A$4:$A$13,0))</f>
        <v/>
      </c>
      <c r="K7" s="54" t="inlineStr">
        <is>
          <t>炭素質(水・有機物)</t>
        </is>
      </c>
      <c r="L7" s="52" t="n"/>
    </row>
    <row r="8" ht="16.5" customHeight="1" s="50">
      <c r="A8" s="52" t="n">
        <v>4</v>
      </c>
      <c r="B8" s="52" t="inlineStr">
        <is>
          <t>B2</t>
        </is>
      </c>
      <c r="C8" s="54" t="inlineStr">
        <is>
          <t>ベンヌ</t>
        </is>
      </c>
      <c r="D8" s="54" t="inlineStr">
        <is>
          <t>小惑星</t>
        </is>
      </c>
      <c r="E8" s="76" t="n">
        <v>25000000</v>
      </c>
      <c r="F8" s="77" t="n">
        <v>1.5</v>
      </c>
      <c r="G8" s="78">
        <f>パラメータ!$B$3*パラメータ!$B$4^A8</f>
        <v/>
      </c>
      <c r="H8" s="80">
        <f>F8-F7</f>
        <v/>
      </c>
      <c r="I8" s="72">
        <f>ROUND(パラメータ!$B$5*G7*H8*パラメータ!$B$7*パラメータ!$B$6,-2)</f>
        <v/>
      </c>
      <c r="J8" s="79">
        <f>E8/INDEX(速度カーブ!$D$4:$D$13,MATCH(B8,速度カーブ!$A$4:$A$13,0))</f>
        <v/>
      </c>
      <c r="K8" s="54" t="inlineStr">
        <is>
          <t>炭素質(水・有機物)</t>
        </is>
      </c>
      <c r="L8" s="52" t="n"/>
    </row>
    <row r="9" ht="16.5" customHeight="1" s="50">
      <c r="A9" s="52" t="n">
        <v>5</v>
      </c>
      <c r="B9" s="52" t="inlineStr">
        <is>
          <t>B3</t>
        </is>
      </c>
      <c r="C9" s="54" t="inlineStr">
        <is>
          <t>金星</t>
        </is>
      </c>
      <c r="D9" s="54" t="inlineStr">
        <is>
          <t>惑星</t>
        </is>
      </c>
      <c r="E9" s="76" t="n">
        <v>41000000</v>
      </c>
      <c r="F9" s="77" t="n">
        <v>2</v>
      </c>
      <c r="G9" s="78">
        <f>パラメータ!$B$3*パラメータ!$B$4^A9</f>
        <v/>
      </c>
      <c r="H9" s="80">
        <f>F9-F8</f>
        <v/>
      </c>
      <c r="I9" s="72">
        <f>ROUND(パラメータ!$B$5*G8*H9*パラメータ!$B$7*パラメータ!$B$6,-2)</f>
        <v/>
      </c>
      <c r="J9" s="79">
        <f>E9/INDEX(速度カーブ!$D$4:$D$13,MATCH(B9,速度カーブ!$A$4:$A$13,0))</f>
        <v/>
      </c>
      <c r="K9" s="54" t="inlineStr">
        <is>
          <t>大気成分(ゲーム用設定)</t>
        </is>
      </c>
      <c r="L9" s="54" t="inlineStr">
        <is>
          <t>着陸不可・大気採取</t>
        </is>
      </c>
    </row>
    <row r="10" ht="15" customHeight="1" s="50">
      <c r="A10" s="52" t="n">
        <v>6</v>
      </c>
      <c r="B10" s="52" t="inlineStr">
        <is>
          <t>B3</t>
        </is>
      </c>
      <c r="C10" s="54" t="inlineStr">
        <is>
          <t>水星</t>
        </is>
      </c>
      <c r="D10" s="54" t="inlineStr">
        <is>
          <t>惑星</t>
        </is>
      </c>
      <c r="E10" s="76" t="n">
        <v>77000000</v>
      </c>
      <c r="F10" s="77" t="n">
        <v>2.5</v>
      </c>
      <c r="G10" s="78">
        <f>パラメータ!$B$3*パラメータ!$B$4^A10</f>
        <v/>
      </c>
      <c r="H10" s="80">
        <f>F10-F9</f>
        <v/>
      </c>
      <c r="I10" s="72">
        <f>ROUND(パラメータ!$B$5*G9*H10*パラメータ!$B$7*パラメータ!$B$6,-2)</f>
        <v/>
      </c>
      <c r="J10" s="79">
        <f>E10/INDEX(速度カーブ!$D$4:$D$13,MATCH(B10,速度カーブ!$A$4:$A$13,0))</f>
        <v/>
      </c>
      <c r="K10" s="54" t="inlineStr">
        <is>
          <t>鉄・ニッケル・硫黄(実在:高濃度)</t>
        </is>
      </c>
      <c r="L10" s="52" t="n"/>
    </row>
    <row r="11" ht="15" customHeight="1" s="50">
      <c r="A11" s="52" t="n">
        <v>7</v>
      </c>
      <c r="B11" s="52" t="inlineStr">
        <is>
          <t>B4</t>
        </is>
      </c>
      <c r="C11" s="54" t="inlineStr">
        <is>
          <t>火星</t>
        </is>
      </c>
      <c r="D11" s="54" t="inlineStr">
        <is>
          <t>惑星</t>
        </is>
      </c>
      <c r="E11" s="76" t="n">
        <v>78000000</v>
      </c>
      <c r="F11" s="77" t="n">
        <v>3</v>
      </c>
      <c r="G11" s="78">
        <f>パラメータ!$B$3*パラメータ!$B$4^A11</f>
        <v/>
      </c>
      <c r="H11" s="80">
        <f>F11-F10</f>
        <v/>
      </c>
      <c r="I11" s="72">
        <f>ROUND(パラメータ!$B$5*G10*H11*パラメータ!$B$7*パラメータ!$B$6,-2)</f>
        <v/>
      </c>
      <c r="J11" s="79">
        <f>E11/INDEX(速度カーブ!$D$4:$D$13,MATCH(B11,速度カーブ!$A$4:$A$13,0))</f>
        <v/>
      </c>
      <c r="K11" s="54" t="inlineStr">
        <is>
          <t>鉄・水氷</t>
        </is>
      </c>
      <c r="L11" s="52" t="n"/>
    </row>
    <row r="12" ht="15" customHeight="1" s="50">
      <c r="A12" s="52" t="n">
        <v>8</v>
      </c>
      <c r="B12" s="52" t="inlineStr">
        <is>
          <t>B4</t>
        </is>
      </c>
      <c r="C12" s="54" t="inlineStr">
        <is>
          <t>フォボス</t>
        </is>
      </c>
      <c r="D12" s="54" t="inlineStr">
        <is>
          <t>衛星</t>
        </is>
      </c>
      <c r="E12" s="76" t="n">
        <v>78100000</v>
      </c>
      <c r="F12" s="77" t="n">
        <v>3.5</v>
      </c>
      <c r="G12" s="78">
        <f>パラメータ!$B$3*パラメータ!$B$4^A12</f>
        <v/>
      </c>
      <c r="H12" s="80">
        <f>F12-F11</f>
        <v/>
      </c>
      <c r="I12" s="72">
        <f>ROUND(パラメータ!$B$5*G11*H12*パラメータ!$B$7*パラメータ!$B$6,-2)</f>
        <v/>
      </c>
      <c r="J12" s="79">
        <f>E12/INDEX(速度カーブ!$D$4:$D$13,MATCH(B12,速度カーブ!$A$4:$A$13,0))</f>
        <v/>
      </c>
      <c r="K12" s="54" t="inlineStr">
        <is>
          <t>鉄・炭素質</t>
        </is>
      </c>
      <c r="L12" s="52" t="n"/>
    </row>
    <row r="13" ht="15" customHeight="1" s="50">
      <c r="A13" s="52" t="n">
        <v>9</v>
      </c>
      <c r="B13" s="52" t="inlineStr">
        <is>
          <t>B4</t>
        </is>
      </c>
      <c r="C13" s="54" t="inlineStr">
        <is>
          <t>ダイモス</t>
        </is>
      </c>
      <c r="D13" s="54" t="inlineStr">
        <is>
          <t>衛星</t>
        </is>
      </c>
      <c r="E13" s="76" t="n">
        <v>78200000</v>
      </c>
      <c r="F13" s="77" t="n">
        <v>4</v>
      </c>
      <c r="G13" s="78">
        <f>パラメータ!$B$3*パラメータ!$B$4^A13</f>
        <v/>
      </c>
      <c r="H13" s="80">
        <f>F13-F12</f>
        <v/>
      </c>
      <c r="I13" s="72">
        <f>ROUND(パラメータ!$B$5*G12*H13*パラメータ!$B$7*パラメータ!$B$6,-2)</f>
        <v/>
      </c>
      <c r="J13" s="79">
        <f>E13/INDEX(速度カーブ!$D$4:$D$13,MATCH(B13,速度カーブ!$A$4:$A$13,0))</f>
        <v/>
      </c>
      <c r="K13" s="54" t="inlineStr">
        <is>
          <t>鉄・ニッケル・クロム(クロマイト・実在根拠)</t>
        </is>
      </c>
      <c r="L13" s="52" t="n"/>
    </row>
    <row r="14" ht="15" customHeight="1" s="50">
      <c r="A14" s="52" t="n">
        <v>10</v>
      </c>
      <c r="B14" s="52" t="inlineStr">
        <is>
          <t>B5</t>
        </is>
      </c>
      <c r="C14" s="54" t="inlineStr">
        <is>
          <t>ベスタ</t>
        </is>
      </c>
      <c r="D14" s="54" t="inlineStr">
        <is>
          <t>小惑星</t>
        </is>
      </c>
      <c r="E14" s="76" t="n">
        <v>260000000</v>
      </c>
      <c r="F14" s="77" t="n">
        <v>5</v>
      </c>
      <c r="G14" s="78">
        <f>パラメータ!$B$3*パラメータ!$B$4^A14</f>
        <v/>
      </c>
      <c r="H14" s="80">
        <f>F14-F13</f>
        <v/>
      </c>
      <c r="I14" s="72">
        <f>ROUND(パラメータ!$B$5*G13*H14*パラメータ!$B$7*パラメータ!$B$6,-2)</f>
        <v/>
      </c>
      <c r="J14" s="79">
        <f>E14/INDEX(速度カーブ!$D$4:$D$13,MATCH(B14,速度カーブ!$A$4:$A$13,0))</f>
        <v/>
      </c>
      <c r="K14" s="54" t="inlineStr">
        <is>
          <t>鉄・ニッケル・銅(推定)</t>
        </is>
      </c>
      <c r="L14" s="52" t="n"/>
    </row>
    <row r="15" ht="15" customHeight="1" s="50">
      <c r="A15" s="52" t="n">
        <v>11</v>
      </c>
      <c r="B15" s="52" t="inlineStr">
        <is>
          <t>B5</t>
        </is>
      </c>
      <c r="C15" s="54" t="inlineStr">
        <is>
          <t>ケレス</t>
        </is>
      </c>
      <c r="D15" s="54" t="inlineStr">
        <is>
          <t>準惑星</t>
        </is>
      </c>
      <c r="E15" s="76" t="n">
        <v>290000000</v>
      </c>
      <c r="F15" s="77" t="n">
        <v>5.8</v>
      </c>
      <c r="G15" s="78">
        <f>パラメータ!$B$3*パラメータ!$B$4^A15</f>
        <v/>
      </c>
      <c r="H15" s="80">
        <f>F15-F14</f>
        <v/>
      </c>
      <c r="I15" s="72">
        <f>ROUND(パラメータ!$B$5*G14*H15*パラメータ!$B$7*パラメータ!$B$6,-2)</f>
        <v/>
      </c>
      <c r="J15" s="79">
        <f>E15/INDEX(速度カーブ!$D$4:$D$13,MATCH(B15,速度カーブ!$A$4:$A$13,0))</f>
        <v/>
      </c>
      <c r="K15" s="54" t="inlineStr">
        <is>
          <t>水氷・鉄</t>
        </is>
      </c>
      <c r="L15" s="52" t="n"/>
    </row>
    <row r="16" ht="15" customHeight="1" s="50">
      <c r="A16" s="52" t="n">
        <v>12</v>
      </c>
      <c r="B16" s="52" t="inlineStr">
        <is>
          <t>B5</t>
        </is>
      </c>
      <c r="C16" s="54" t="inlineStr">
        <is>
          <t>パラス</t>
        </is>
      </c>
      <c r="D16" s="54" t="inlineStr">
        <is>
          <t>小惑星</t>
        </is>
      </c>
      <c r="E16" s="76" t="n">
        <v>310000000</v>
      </c>
      <c r="F16" s="77" t="n">
        <v>6.6</v>
      </c>
      <c r="G16" s="78">
        <f>パラメータ!$B$3*パラメータ!$B$4^A16</f>
        <v/>
      </c>
      <c r="H16" s="80">
        <f>F16-F15</f>
        <v/>
      </c>
      <c r="I16" s="72">
        <f>ROUND(パラメータ!$B$5*G15*H16*パラメータ!$B$7*パラメータ!$B$6,-2)</f>
        <v/>
      </c>
      <c r="J16" s="79">
        <f>E16/INDEX(速度カーブ!$D$4:$D$13,MATCH(B16,速度カーブ!$A$4:$A$13,0))</f>
        <v/>
      </c>
      <c r="K16" s="54" t="inlineStr">
        <is>
          <t>鉄・ニッケル</t>
        </is>
      </c>
      <c r="L16" s="52" t="n"/>
    </row>
    <row r="17" ht="15" customHeight="1" s="50">
      <c r="A17" s="52" t="n">
        <v>13</v>
      </c>
      <c r="B17" s="52" t="inlineStr">
        <is>
          <t>B5</t>
        </is>
      </c>
      <c r="C17" s="54" t="inlineStr">
        <is>
          <t>ヒギエア</t>
        </is>
      </c>
      <c r="D17" s="54" t="inlineStr">
        <is>
          <t>小惑星</t>
        </is>
      </c>
      <c r="E17" s="76" t="n">
        <v>330000000</v>
      </c>
      <c r="F17" s="77" t="n">
        <v>7.4</v>
      </c>
      <c r="G17" s="78">
        <f>パラメータ!$B$3*パラメータ!$B$4^A17</f>
        <v/>
      </c>
      <c r="H17" s="80">
        <f>F17-F16</f>
        <v/>
      </c>
      <c r="I17" s="72">
        <f>ROUND(パラメータ!$B$5*G16*H17*パラメータ!$B$7*パラメータ!$B$6,-2)</f>
        <v/>
      </c>
      <c r="J17" s="79">
        <f>E17/INDEX(速度カーブ!$D$4:$D$13,MATCH(B17,速度カーブ!$A$4:$A$13,0))</f>
        <v/>
      </c>
      <c r="K17" s="54" t="inlineStr">
        <is>
          <t>炭素質・水氷</t>
        </is>
      </c>
      <c r="L17" s="52" t="n"/>
    </row>
    <row r="18" ht="15" customHeight="1" s="50">
      <c r="A18" s="52" t="n">
        <v>14</v>
      </c>
      <c r="B18" s="52" t="inlineStr">
        <is>
          <t>B5</t>
        </is>
      </c>
      <c r="C18" s="54" t="inlineStr">
        <is>
          <t>ルテティア</t>
        </is>
      </c>
      <c r="D18" s="54" t="inlineStr">
        <is>
          <t>小惑星</t>
        </is>
      </c>
      <c r="E18" s="76" t="n">
        <v>350000000</v>
      </c>
      <c r="F18" s="77" t="n">
        <v>8.199999999999999</v>
      </c>
      <c r="G18" s="78">
        <f>パラメータ!$B$3*パラメータ!$B$4^A18</f>
        <v/>
      </c>
      <c r="H18" s="80">
        <f>F18-F17</f>
        <v/>
      </c>
      <c r="I18" s="72">
        <f>ROUND(パラメータ!$B$5*G17*H18*パラメータ!$B$7*パラメータ!$B$6,-2)</f>
        <v/>
      </c>
      <c r="J18" s="79">
        <f>E18/INDEX(速度カーブ!$D$4:$D$13,MATCH(B18,速度カーブ!$A$4:$A$13,0))</f>
        <v/>
      </c>
      <c r="K18" s="54" t="inlineStr">
        <is>
          <t>鉄・ニッケル・タングステン・モリブデン(推定)</t>
        </is>
      </c>
      <c r="L18" s="52" t="n"/>
    </row>
    <row r="19" ht="16.5" customHeight="1" s="50">
      <c r="A19" s="52" t="n">
        <v>15</v>
      </c>
      <c r="B19" s="52" t="inlineStr">
        <is>
          <t>B5</t>
        </is>
      </c>
      <c r="C19" s="54" t="inlineStr">
        <is>
          <t>プシケ</t>
        </is>
      </c>
      <c r="D19" s="54" t="inlineStr">
        <is>
          <t>小惑星</t>
        </is>
      </c>
      <c r="E19" s="76" t="n">
        <v>370000000</v>
      </c>
      <c r="F19" s="77" t="n">
        <v>9</v>
      </c>
      <c r="G19" s="78">
        <f>パラメータ!$B$3*パラメータ!$B$4^A19</f>
        <v/>
      </c>
      <c r="H19" s="80">
        <f>F19-F18</f>
        <v/>
      </c>
      <c r="I19" s="72">
        <f>ROUND(パラメータ!$B$5*G18*H19*パラメータ!$B$7*パラメータ!$B$6,-2)</f>
        <v/>
      </c>
      <c r="J19" s="79">
        <f>E19/INDEX(速度カーブ!$D$4:$D$13,MATCH(B19,速度カーブ!$A$4:$A$13,0))</f>
        <v/>
      </c>
      <c r="K19" s="54" t="inlineStr">
        <is>
          <t>鉄・ニッケル・コバルト・白金・パラジウム・金(推定)</t>
        </is>
      </c>
      <c r="L19" s="54" t="inlineStr">
        <is>
          <t>バンド最後の金属天体</t>
        </is>
      </c>
    </row>
    <row r="20" ht="16.5" customHeight="1" s="50">
      <c r="A20" s="52" t="n">
        <v>16</v>
      </c>
      <c r="B20" s="52" t="inlineStr">
        <is>
          <t>B6</t>
        </is>
      </c>
      <c r="C20" s="54" t="inlineStr">
        <is>
          <t>木星</t>
        </is>
      </c>
      <c r="D20" s="54" t="inlineStr">
        <is>
          <t>惑星</t>
        </is>
      </c>
      <c r="E20" s="76" t="n">
        <v>630000000</v>
      </c>
      <c r="F20" s="77" t="n">
        <v>10</v>
      </c>
      <c r="G20" s="78">
        <f>パラメータ!$B$3*パラメータ!$B$4^A20</f>
        <v/>
      </c>
      <c r="H20" s="80">
        <f>F20-F19</f>
        <v/>
      </c>
      <c r="I20" s="72">
        <f>ROUND(パラメータ!$B$5*G19*H20*パラメータ!$B$7*パラメータ!$B$6,-2)</f>
        <v/>
      </c>
      <c r="J20" s="79">
        <f>E20/INDEX(速度カーブ!$D$4:$D$13,MATCH(B20,速度カーブ!$A$4:$A$13,0))</f>
        <v/>
      </c>
      <c r="K20" s="54" t="inlineStr">
        <is>
          <t>水素・ヘリウム(大気)</t>
        </is>
      </c>
      <c r="L20" s="54" t="inlineStr">
        <is>
          <t>着陸不可・大気採取</t>
        </is>
      </c>
    </row>
    <row r="21" ht="15" customHeight="1" s="50">
      <c r="A21" s="52" t="n">
        <v>17</v>
      </c>
      <c r="B21" s="52" t="inlineStr">
        <is>
          <t>B6</t>
        </is>
      </c>
      <c r="C21" s="54" t="inlineStr">
        <is>
          <t>イオ</t>
        </is>
      </c>
      <c r="D21" s="54" t="inlineStr">
        <is>
          <t>衛星</t>
        </is>
      </c>
      <c r="E21" s="76" t="n">
        <v>631000000</v>
      </c>
      <c r="F21" s="77" t="n">
        <v>11</v>
      </c>
      <c r="G21" s="78">
        <f>パラメータ!$B$3*パラメータ!$B$4^A21</f>
        <v/>
      </c>
      <c r="H21" s="80">
        <f>F21-F20</f>
        <v/>
      </c>
      <c r="I21" s="72">
        <f>ROUND(パラメータ!$B$5*G20*H21*パラメータ!$B$7*パラメータ!$B$6,-2)</f>
        <v/>
      </c>
      <c r="J21" s="79">
        <f>E21/INDEX(速度カーブ!$D$4:$D$13,MATCH(B21,速度カーブ!$A$4:$A$13,0))</f>
        <v/>
      </c>
      <c r="K21" s="54" t="inlineStr">
        <is>
          <t>硫黄</t>
        </is>
      </c>
      <c r="L21" s="52" t="n"/>
    </row>
    <row r="22" ht="15" customHeight="1" s="50">
      <c r="A22" s="52" t="n">
        <v>18</v>
      </c>
      <c r="B22" s="52" t="inlineStr">
        <is>
          <t>B6</t>
        </is>
      </c>
      <c r="C22" s="54" t="inlineStr">
        <is>
          <t>エウロパ</t>
        </is>
      </c>
      <c r="D22" s="54" t="inlineStr">
        <is>
          <t>衛星</t>
        </is>
      </c>
      <c r="E22" s="76" t="n">
        <v>632000000</v>
      </c>
      <c r="F22" s="77" t="n">
        <v>12</v>
      </c>
      <c r="G22" s="78">
        <f>パラメータ!$B$3*パラメータ!$B$4^A22</f>
        <v/>
      </c>
      <c r="H22" s="80">
        <f>F22-F21</f>
        <v/>
      </c>
      <c r="I22" s="72">
        <f>ROUND(パラメータ!$B$5*G21*H22*パラメータ!$B$7*パラメータ!$B$6,-2)</f>
        <v/>
      </c>
      <c r="J22" s="79">
        <f>E22/INDEX(速度カーブ!$D$4:$D$13,MATCH(B22,速度カーブ!$A$4:$A$13,0))</f>
        <v/>
      </c>
      <c r="K22" s="54" t="inlineStr">
        <is>
          <t>水氷</t>
        </is>
      </c>
      <c r="L22" s="52" t="n"/>
    </row>
    <row r="23" ht="15" customHeight="1" s="50">
      <c r="A23" s="52" t="n">
        <v>19</v>
      </c>
      <c r="B23" s="52" t="inlineStr">
        <is>
          <t>B6</t>
        </is>
      </c>
      <c r="C23" s="54" t="inlineStr">
        <is>
          <t>ガニメデ</t>
        </is>
      </c>
      <c r="D23" s="54" t="inlineStr">
        <is>
          <t>衛星</t>
        </is>
      </c>
      <c r="E23" s="76" t="n">
        <v>633000000</v>
      </c>
      <c r="F23" s="77" t="n">
        <v>13</v>
      </c>
      <c r="G23" s="78">
        <f>パラメータ!$B$3*パラメータ!$B$4^A23</f>
        <v/>
      </c>
      <c r="H23" s="80">
        <f>F23-F22</f>
        <v/>
      </c>
      <c r="I23" s="72">
        <f>ROUND(パラメータ!$B$5*G22*H23*パラメータ!$B$7*パラメータ!$B$6,-2)</f>
        <v/>
      </c>
      <c r="J23" s="79">
        <f>E23/INDEX(速度カーブ!$D$4:$D$13,MATCH(B23,速度カーブ!$A$4:$A$13,0))</f>
        <v/>
      </c>
      <c r="K23" s="54" t="inlineStr">
        <is>
          <t>水氷・鉄</t>
        </is>
      </c>
      <c r="L23" s="52" t="n"/>
    </row>
    <row r="24" ht="15" customHeight="1" s="50">
      <c r="A24" s="52" t="n">
        <v>20</v>
      </c>
      <c r="B24" s="52" t="inlineStr">
        <is>
          <t>B6</t>
        </is>
      </c>
      <c r="C24" s="54" t="inlineStr">
        <is>
          <t>カリスト</t>
        </is>
      </c>
      <c r="D24" s="54" t="inlineStr">
        <is>
          <t>衛星</t>
        </is>
      </c>
      <c r="E24" s="76" t="n">
        <v>634000000</v>
      </c>
      <c r="F24" s="77" t="n">
        <v>14</v>
      </c>
      <c r="G24" s="78">
        <f>パラメータ!$B$3*パラメータ!$B$4^A24</f>
        <v/>
      </c>
      <c r="H24" s="80">
        <f>F24-F23</f>
        <v/>
      </c>
      <c r="I24" s="72">
        <f>ROUND(パラメータ!$B$5*G23*H24*パラメータ!$B$7*パラメータ!$B$6,-2)</f>
        <v/>
      </c>
      <c r="J24" s="79">
        <f>E24/INDEX(速度カーブ!$D$4:$D$13,MATCH(B24,速度カーブ!$A$4:$A$13,0))</f>
        <v/>
      </c>
      <c r="K24" s="54" t="inlineStr">
        <is>
          <t>水氷</t>
        </is>
      </c>
      <c r="L24" s="52" t="n"/>
    </row>
    <row r="25" ht="16.5" customHeight="1" s="50">
      <c r="A25" s="52" t="n">
        <v>21</v>
      </c>
      <c r="B25" s="52" t="inlineStr">
        <is>
          <t>B7</t>
        </is>
      </c>
      <c r="C25" s="54" t="inlineStr">
        <is>
          <t>土星</t>
        </is>
      </c>
      <c r="D25" s="54" t="inlineStr">
        <is>
          <t>惑星</t>
        </is>
      </c>
      <c r="E25" s="76" t="n">
        <v>1280000000</v>
      </c>
      <c r="F25" s="77" t="n">
        <v>15</v>
      </c>
      <c r="G25" s="78">
        <f>パラメータ!$B$3*パラメータ!$B$4^A25</f>
        <v/>
      </c>
      <c r="H25" s="80">
        <f>F25-F24</f>
        <v/>
      </c>
      <c r="I25" s="72">
        <f>ROUND(パラメータ!$B$5*G24*H25*パラメータ!$B$7*パラメータ!$B$6,-2)</f>
        <v/>
      </c>
      <c r="J25" s="79">
        <f>E25/INDEX(速度カーブ!$D$4:$D$13,MATCH(B25,速度カーブ!$A$4:$A$13,0))</f>
        <v/>
      </c>
      <c r="K25" s="54" t="inlineStr">
        <is>
          <t>水素・ヘリウム(大気)</t>
        </is>
      </c>
      <c r="L25" s="54" t="inlineStr">
        <is>
          <t>着陸不可・大気採取</t>
        </is>
      </c>
    </row>
    <row r="26" ht="15" customHeight="1" s="50">
      <c r="A26" s="52" t="n">
        <v>22</v>
      </c>
      <c r="B26" s="52" t="inlineStr">
        <is>
          <t>B7</t>
        </is>
      </c>
      <c r="C26" s="54" t="inlineStr">
        <is>
          <t>ミマス</t>
        </is>
      </c>
      <c r="D26" s="54" t="inlineStr">
        <is>
          <t>衛星</t>
        </is>
      </c>
      <c r="E26" s="76" t="n">
        <v>1281000000</v>
      </c>
      <c r="F26" s="77" t="n">
        <v>16.2</v>
      </c>
      <c r="G26" s="78">
        <f>パラメータ!$B$3*パラメータ!$B$4^A26</f>
        <v/>
      </c>
      <c r="H26" s="80">
        <f>F26-F25</f>
        <v/>
      </c>
      <c r="I26" s="72">
        <f>ROUND(パラメータ!$B$5*G25*H26*パラメータ!$B$7*パラメータ!$B$6,-2)</f>
        <v/>
      </c>
      <c r="J26" s="79">
        <f>E26/INDEX(速度カーブ!$D$4:$D$13,MATCH(B26,速度カーブ!$A$4:$A$13,0))</f>
        <v/>
      </c>
      <c r="K26" s="54" t="inlineStr">
        <is>
          <t>氷</t>
        </is>
      </c>
      <c r="L26" s="52" t="n"/>
    </row>
    <row r="27" ht="15" customHeight="1" s="50">
      <c r="A27" s="52" t="n">
        <v>23</v>
      </c>
      <c r="B27" s="52" t="inlineStr">
        <is>
          <t>B7</t>
        </is>
      </c>
      <c r="C27" s="54" t="inlineStr">
        <is>
          <t>エンケラドス</t>
        </is>
      </c>
      <c r="D27" s="54" t="inlineStr">
        <is>
          <t>衛星</t>
        </is>
      </c>
      <c r="E27" s="76" t="n">
        <v>1282000000</v>
      </c>
      <c r="F27" s="77" t="n">
        <v>17.4</v>
      </c>
      <c r="G27" s="78">
        <f>パラメータ!$B$3*パラメータ!$B$4^A27</f>
        <v/>
      </c>
      <c r="H27" s="80">
        <f>F27-F26</f>
        <v/>
      </c>
      <c r="I27" s="72">
        <f>ROUND(パラメータ!$B$5*G26*H27*パラメータ!$B$7*パラメータ!$B$6,-2)</f>
        <v/>
      </c>
      <c r="J27" s="79">
        <f>E27/INDEX(速度カーブ!$D$4:$D$13,MATCH(B27,速度カーブ!$A$4:$A$13,0))</f>
        <v/>
      </c>
      <c r="K27" s="54" t="inlineStr">
        <is>
          <t>水</t>
        </is>
      </c>
      <c r="L27" s="52" t="n"/>
    </row>
    <row r="28" ht="15" customHeight="1" s="50">
      <c r="A28" s="52" t="n">
        <v>24</v>
      </c>
      <c r="B28" s="52" t="inlineStr">
        <is>
          <t>B7</t>
        </is>
      </c>
      <c r="C28" s="54" t="inlineStr">
        <is>
          <t>テティス</t>
        </is>
      </c>
      <c r="D28" s="54" t="inlineStr">
        <is>
          <t>衛星</t>
        </is>
      </c>
      <c r="E28" s="76" t="n">
        <v>1283000000</v>
      </c>
      <c r="F28" s="77" t="n">
        <v>18.6</v>
      </c>
      <c r="G28" s="78">
        <f>パラメータ!$B$3*パラメータ!$B$4^A28</f>
        <v/>
      </c>
      <c r="H28" s="80">
        <f>F28-F27</f>
        <v/>
      </c>
      <c r="I28" s="72">
        <f>ROUND(パラメータ!$B$5*G27*H28*パラメータ!$B$7*パラメータ!$B$6,-2)</f>
        <v/>
      </c>
      <c r="J28" s="79">
        <f>E28/INDEX(速度カーブ!$D$4:$D$13,MATCH(B28,速度カーブ!$A$4:$A$13,0))</f>
        <v/>
      </c>
      <c r="K28" s="54" t="inlineStr">
        <is>
          <t>氷</t>
        </is>
      </c>
      <c r="L28" s="52" t="n"/>
    </row>
    <row r="29" ht="15" customHeight="1" s="50">
      <c r="A29" s="52" t="n">
        <v>25</v>
      </c>
      <c r="B29" s="52" t="inlineStr">
        <is>
          <t>B7</t>
        </is>
      </c>
      <c r="C29" s="54" t="inlineStr">
        <is>
          <t>ディオネ</t>
        </is>
      </c>
      <c r="D29" s="54" t="inlineStr">
        <is>
          <t>衛星</t>
        </is>
      </c>
      <c r="E29" s="76" t="n">
        <v>1284000000</v>
      </c>
      <c r="F29" s="77" t="n">
        <v>19.8</v>
      </c>
      <c r="G29" s="78">
        <f>パラメータ!$B$3*パラメータ!$B$4^A29</f>
        <v/>
      </c>
      <c r="H29" s="80">
        <f>F29-F28</f>
        <v/>
      </c>
      <c r="I29" s="72">
        <f>ROUND(パラメータ!$B$5*G28*H29*パラメータ!$B$7*パラメータ!$B$6,-2)</f>
        <v/>
      </c>
      <c r="J29" s="79">
        <f>E29/INDEX(速度カーブ!$D$4:$D$13,MATCH(B29,速度カーブ!$A$4:$A$13,0))</f>
        <v/>
      </c>
      <c r="K29" s="54" t="inlineStr">
        <is>
          <t>氷</t>
        </is>
      </c>
      <c r="L29" s="52" t="n"/>
    </row>
    <row r="30" ht="15" customHeight="1" s="50">
      <c r="A30" s="52" t="n">
        <v>26</v>
      </c>
      <c r="B30" s="52" t="inlineStr">
        <is>
          <t>B7</t>
        </is>
      </c>
      <c r="C30" s="54" t="inlineStr">
        <is>
          <t>レア</t>
        </is>
      </c>
      <c r="D30" s="54" t="inlineStr">
        <is>
          <t>衛星</t>
        </is>
      </c>
      <c r="E30" s="76" t="n">
        <v>1285000000</v>
      </c>
      <c r="F30" s="77" t="n">
        <v>21</v>
      </c>
      <c r="G30" s="78">
        <f>パラメータ!$B$3*パラメータ!$B$4^A30</f>
        <v/>
      </c>
      <c r="H30" s="80">
        <f>F30-F29</f>
        <v/>
      </c>
      <c r="I30" s="72">
        <f>ROUND(パラメータ!$B$5*G29*H30*パラメータ!$B$7*パラメータ!$B$6,-2)</f>
        <v/>
      </c>
      <c r="J30" s="79">
        <f>E30/INDEX(速度カーブ!$D$4:$D$13,MATCH(B30,速度カーブ!$A$4:$A$13,0))</f>
        <v/>
      </c>
      <c r="K30" s="54" t="inlineStr">
        <is>
          <t>氷</t>
        </is>
      </c>
      <c r="L30" s="52" t="n"/>
    </row>
    <row r="31" ht="15" customHeight="1" s="50">
      <c r="A31" s="52" t="n">
        <v>27</v>
      </c>
      <c r="B31" s="52" t="inlineStr">
        <is>
          <t>B7</t>
        </is>
      </c>
      <c r="C31" s="54" t="inlineStr">
        <is>
          <t>タイタン</t>
        </is>
      </c>
      <c r="D31" s="54" t="inlineStr">
        <is>
          <t>衛星</t>
        </is>
      </c>
      <c r="E31" s="76" t="n">
        <v>1286000000</v>
      </c>
      <c r="F31" s="77" t="n">
        <v>22.5</v>
      </c>
      <c r="G31" s="78">
        <f>パラメータ!$B$3*パラメータ!$B$4^A31</f>
        <v/>
      </c>
      <c r="H31" s="80">
        <f>F31-F30</f>
        <v/>
      </c>
      <c r="I31" s="72">
        <f>ROUND(パラメータ!$B$5*G30*H31*パラメータ!$B$7*パラメータ!$B$6,-2)</f>
        <v/>
      </c>
      <c r="J31" s="79">
        <f>E31/INDEX(速度カーブ!$D$4:$D$13,MATCH(B31,速度カーブ!$A$4:$A$13,0))</f>
        <v/>
      </c>
      <c r="K31" s="54" t="inlineStr">
        <is>
          <t>メタン・炭化水素(液体炭化水素湖=実在)</t>
        </is>
      </c>
      <c r="L31" s="52" t="n"/>
    </row>
    <row r="32" ht="15" customHeight="1" s="50">
      <c r="A32" s="52" t="n">
        <v>28</v>
      </c>
      <c r="B32" s="52" t="inlineStr">
        <is>
          <t>B7</t>
        </is>
      </c>
      <c r="C32" s="54" t="inlineStr">
        <is>
          <t>イアペトゥス</t>
        </is>
      </c>
      <c r="D32" s="54" t="inlineStr">
        <is>
          <t>衛星</t>
        </is>
      </c>
      <c r="E32" s="76" t="n">
        <v>1287000000</v>
      </c>
      <c r="F32" s="77" t="n">
        <v>24</v>
      </c>
      <c r="G32" s="78">
        <f>パラメータ!$B$3*パラメータ!$B$4^A32</f>
        <v/>
      </c>
      <c r="H32" s="80">
        <f>F32-F31</f>
        <v/>
      </c>
      <c r="I32" s="72">
        <f>ROUND(パラメータ!$B$5*G31*H32*パラメータ!$B$7*パラメータ!$B$6,-2)</f>
        <v/>
      </c>
      <c r="J32" s="79">
        <f>E32/INDEX(速度カーブ!$D$4:$D$13,MATCH(B32,速度カーブ!$A$4:$A$13,0))</f>
        <v/>
      </c>
      <c r="K32" s="54" t="inlineStr">
        <is>
          <t>氷・炭素質</t>
        </is>
      </c>
      <c r="L32" s="52" t="n"/>
    </row>
    <row r="33" ht="16.5" customHeight="1" s="50">
      <c r="A33" s="52" t="n">
        <v>29</v>
      </c>
      <c r="B33" s="52" t="inlineStr">
        <is>
          <t>B8</t>
        </is>
      </c>
      <c r="C33" s="54" t="inlineStr">
        <is>
          <t>天王星</t>
        </is>
      </c>
      <c r="D33" s="54" t="inlineStr">
        <is>
          <t>惑星</t>
        </is>
      </c>
      <c r="E33" s="76" t="n">
        <v>2700000000</v>
      </c>
      <c r="F33" s="77" t="n">
        <v>25.5</v>
      </c>
      <c r="G33" s="78">
        <f>パラメータ!$B$3*パラメータ!$B$4^A33</f>
        <v/>
      </c>
      <c r="H33" s="80">
        <f>F33-F32</f>
        <v/>
      </c>
      <c r="I33" s="72">
        <f>ROUND(パラメータ!$B$5*G32*H33*パラメータ!$B$7*パラメータ!$B$6,-2)</f>
        <v/>
      </c>
      <c r="J33" s="79">
        <f>E33/INDEX(速度カーブ!$D$4:$D$13,MATCH(B33,速度カーブ!$A$4:$A$13,0))</f>
        <v/>
      </c>
      <c r="K33" s="54" t="inlineStr">
        <is>
          <t>メタン・アンモニア(大気)</t>
        </is>
      </c>
      <c r="L33" s="54" t="inlineStr">
        <is>
          <t>着陸不可・大気採取</t>
        </is>
      </c>
    </row>
    <row r="34" ht="15" customHeight="1" s="50">
      <c r="A34" s="52" t="n">
        <v>30</v>
      </c>
      <c r="B34" s="52" t="inlineStr">
        <is>
          <t>B8</t>
        </is>
      </c>
      <c r="C34" s="54" t="inlineStr">
        <is>
          <t>ミランダ</t>
        </is>
      </c>
      <c r="D34" s="54" t="inlineStr">
        <is>
          <t>衛星</t>
        </is>
      </c>
      <c r="E34" s="76" t="n">
        <v>2701000000</v>
      </c>
      <c r="F34" s="77" t="n">
        <v>27</v>
      </c>
      <c r="G34" s="78">
        <f>パラメータ!$B$3*パラメータ!$B$4^A34</f>
        <v/>
      </c>
      <c r="H34" s="80">
        <f>F34-F33</f>
        <v/>
      </c>
      <c r="I34" s="72">
        <f>ROUND(パラメータ!$B$5*G33*H34*パラメータ!$B$7*パラメータ!$B$6,-2)</f>
        <v/>
      </c>
      <c r="J34" s="79">
        <f>E34/INDEX(速度カーブ!$D$4:$D$13,MATCH(B34,速度カーブ!$A$4:$A$13,0))</f>
        <v/>
      </c>
      <c r="K34" s="54" t="inlineStr">
        <is>
          <t>氷</t>
        </is>
      </c>
      <c r="L34" s="52" t="n"/>
    </row>
    <row r="35" ht="15" customHeight="1" s="50">
      <c r="A35" s="52" t="n">
        <v>31</v>
      </c>
      <c r="B35" s="52" t="inlineStr">
        <is>
          <t>B8</t>
        </is>
      </c>
      <c r="C35" s="54" t="inlineStr">
        <is>
          <t>アリエル</t>
        </is>
      </c>
      <c r="D35" s="54" t="inlineStr">
        <is>
          <t>衛星</t>
        </is>
      </c>
      <c r="E35" s="76" t="n">
        <v>2702000000</v>
      </c>
      <c r="F35" s="77" t="n">
        <v>28.5</v>
      </c>
      <c r="G35" s="78">
        <f>パラメータ!$B$3*パラメータ!$B$4^A35</f>
        <v/>
      </c>
      <c r="H35" s="80">
        <f>F35-F34</f>
        <v/>
      </c>
      <c r="I35" s="72">
        <f>ROUND(パラメータ!$B$5*G34*H35*パラメータ!$B$7*パラメータ!$B$6,-2)</f>
        <v/>
      </c>
      <c r="J35" s="79">
        <f>E35/INDEX(速度カーブ!$D$4:$D$13,MATCH(B35,速度カーブ!$A$4:$A$13,0))</f>
        <v/>
      </c>
      <c r="K35" s="54" t="inlineStr">
        <is>
          <t>氷</t>
        </is>
      </c>
      <c r="L35" s="52" t="n"/>
    </row>
    <row r="36" ht="15" customHeight="1" s="50">
      <c r="A36" s="52" t="n">
        <v>32</v>
      </c>
      <c r="B36" s="52" t="inlineStr">
        <is>
          <t>B8</t>
        </is>
      </c>
      <c r="C36" s="54" t="inlineStr">
        <is>
          <t>ウンブリエル</t>
        </is>
      </c>
      <c r="D36" s="54" t="inlineStr">
        <is>
          <t>衛星</t>
        </is>
      </c>
      <c r="E36" s="76" t="n">
        <v>2703000000</v>
      </c>
      <c r="F36" s="77" t="n">
        <v>30</v>
      </c>
      <c r="G36" s="78">
        <f>パラメータ!$B$3*パラメータ!$B$4^A36</f>
        <v/>
      </c>
      <c r="H36" s="80">
        <f>F36-F35</f>
        <v/>
      </c>
      <c r="I36" s="72">
        <f>ROUND(パラメータ!$B$5*G35*H36*パラメータ!$B$7*パラメータ!$B$6,-2)</f>
        <v/>
      </c>
      <c r="J36" s="79">
        <f>E36/INDEX(速度カーブ!$D$4:$D$13,MATCH(B36,速度カーブ!$A$4:$A$13,0))</f>
        <v/>
      </c>
      <c r="K36" s="54" t="inlineStr">
        <is>
          <t>氷</t>
        </is>
      </c>
      <c r="L36" s="52" t="n"/>
    </row>
    <row r="37" ht="15" customHeight="1" s="50">
      <c r="A37" s="52" t="n">
        <v>33</v>
      </c>
      <c r="B37" s="52" t="inlineStr">
        <is>
          <t>B8</t>
        </is>
      </c>
      <c r="C37" s="54" t="inlineStr">
        <is>
          <t>チタニア</t>
        </is>
      </c>
      <c r="D37" s="54" t="inlineStr">
        <is>
          <t>衛星</t>
        </is>
      </c>
      <c r="E37" s="76" t="n">
        <v>2704000000</v>
      </c>
      <c r="F37" s="77" t="n">
        <v>32</v>
      </c>
      <c r="G37" s="78">
        <f>パラメータ!$B$3*パラメータ!$B$4^A37</f>
        <v/>
      </c>
      <c r="H37" s="80">
        <f>F37-F36</f>
        <v/>
      </c>
      <c r="I37" s="72">
        <f>ROUND(パラメータ!$B$5*G36*H37*パラメータ!$B$7*パラメータ!$B$6,-2)</f>
        <v/>
      </c>
      <c r="J37" s="79">
        <f>E37/INDEX(速度カーブ!$D$4:$D$13,MATCH(B37,速度カーブ!$A$4:$A$13,0))</f>
        <v/>
      </c>
      <c r="K37" s="54" t="inlineStr">
        <is>
          <t>氷</t>
        </is>
      </c>
      <c r="L37" s="52" t="n"/>
    </row>
    <row r="38" ht="15" customHeight="1" s="50">
      <c r="A38" s="52" t="n">
        <v>34</v>
      </c>
      <c r="B38" s="52" t="inlineStr">
        <is>
          <t>B8</t>
        </is>
      </c>
      <c r="C38" s="54" t="inlineStr">
        <is>
          <t>オベロン</t>
        </is>
      </c>
      <c r="D38" s="54" t="inlineStr">
        <is>
          <t>衛星</t>
        </is>
      </c>
      <c r="E38" s="76" t="n">
        <v>2705000000</v>
      </c>
      <c r="F38" s="77" t="n">
        <v>34</v>
      </c>
      <c r="G38" s="78">
        <f>パラメータ!$B$3*パラメータ!$B$4^A38</f>
        <v/>
      </c>
      <c r="H38" s="80">
        <f>F38-F37</f>
        <v/>
      </c>
      <c r="I38" s="72">
        <f>ROUND(パラメータ!$B$5*G37*H38*パラメータ!$B$7*パラメータ!$B$6,-2)</f>
        <v/>
      </c>
      <c r="J38" s="79">
        <f>E38/INDEX(速度カーブ!$D$4:$D$13,MATCH(B38,速度カーブ!$A$4:$A$13,0))</f>
        <v/>
      </c>
      <c r="K38" s="54" t="inlineStr">
        <is>
          <t>氷</t>
        </is>
      </c>
      <c r="L38" s="52" t="n"/>
    </row>
    <row r="39" ht="16.5" customHeight="1" s="50">
      <c r="A39" s="52" t="n">
        <v>35</v>
      </c>
      <c r="B39" s="52" t="inlineStr">
        <is>
          <t>B9</t>
        </is>
      </c>
      <c r="C39" s="54" t="inlineStr">
        <is>
          <t>海王星</t>
        </is>
      </c>
      <c r="D39" s="54" t="inlineStr">
        <is>
          <t>惑星</t>
        </is>
      </c>
      <c r="E39" s="76" t="n">
        <v>4350000000</v>
      </c>
      <c r="F39" s="77" t="n">
        <v>36</v>
      </c>
      <c r="G39" s="78">
        <f>パラメータ!$B$3*パラメータ!$B$4^A39</f>
        <v/>
      </c>
      <c r="H39" s="80">
        <f>F39-F38</f>
        <v/>
      </c>
      <c r="I39" s="72">
        <f>ROUND(パラメータ!$B$5*G38*H39*パラメータ!$B$7*パラメータ!$B$6,-2)</f>
        <v/>
      </c>
      <c r="J39" s="79">
        <f>E39/INDEX(速度カーブ!$D$4:$D$13,MATCH(B39,速度カーブ!$A$4:$A$13,0))</f>
        <v/>
      </c>
      <c r="K39" s="54" t="inlineStr">
        <is>
          <t>メタン(大気)</t>
        </is>
      </c>
      <c r="L39" s="54" t="inlineStr">
        <is>
          <t>着陸不可・大気採取</t>
        </is>
      </c>
    </row>
    <row r="40" ht="15" customHeight="1" s="50">
      <c r="A40" s="52" t="n">
        <v>36</v>
      </c>
      <c r="B40" s="52" t="inlineStr">
        <is>
          <t>B9</t>
        </is>
      </c>
      <c r="C40" s="54" t="inlineStr">
        <is>
          <t>プロテウス</t>
        </is>
      </c>
      <c r="D40" s="54" t="inlineStr">
        <is>
          <t>衛星</t>
        </is>
      </c>
      <c r="E40" s="76" t="n">
        <v>4351000000</v>
      </c>
      <c r="F40" s="77" t="n">
        <v>38</v>
      </c>
      <c r="G40" s="78">
        <f>パラメータ!$B$3*パラメータ!$B$4^A40</f>
        <v/>
      </c>
      <c r="H40" s="80">
        <f>F40-F39</f>
        <v/>
      </c>
      <c r="I40" s="72">
        <f>ROUND(パラメータ!$B$5*G39*H40*パラメータ!$B$7*パラメータ!$B$6,-2)</f>
        <v/>
      </c>
      <c r="J40" s="79">
        <f>E40/INDEX(速度カーブ!$D$4:$D$13,MATCH(B40,速度カーブ!$A$4:$A$13,0))</f>
        <v/>
      </c>
      <c r="K40" s="54" t="inlineStr">
        <is>
          <t>氷</t>
        </is>
      </c>
      <c r="L40" s="52" t="n"/>
    </row>
    <row r="41" ht="15" customHeight="1" s="50">
      <c r="A41" s="52" t="n">
        <v>37</v>
      </c>
      <c r="B41" s="52" t="inlineStr">
        <is>
          <t>B9</t>
        </is>
      </c>
      <c r="C41" s="54" t="inlineStr">
        <is>
          <t>トリトン</t>
        </is>
      </c>
      <c r="D41" s="54" t="inlineStr">
        <is>
          <t>衛星</t>
        </is>
      </c>
      <c r="E41" s="76" t="n">
        <v>4352000000</v>
      </c>
      <c r="F41" s="77" t="n">
        <v>40</v>
      </c>
      <c r="G41" s="78">
        <f>パラメータ!$B$3*パラメータ!$B$4^A41</f>
        <v/>
      </c>
      <c r="H41" s="80">
        <f>F41-F40</f>
        <v/>
      </c>
      <c r="I41" s="72">
        <f>ROUND(パラメータ!$B$5*G40*H41*パラメータ!$B$7*パラメータ!$B$6,-2)</f>
        <v/>
      </c>
      <c r="J41" s="79">
        <f>E41/INDEX(速度カーブ!$D$4:$D$13,MATCH(B41,速度カーブ!$A$4:$A$13,0))</f>
        <v/>
      </c>
      <c r="K41" s="54" t="inlineStr">
        <is>
          <t>窒素氷・メタン氷</t>
        </is>
      </c>
      <c r="L41" s="52" t="n"/>
    </row>
    <row r="42" ht="15" customHeight="1" s="50">
      <c r="A42" s="52" t="n">
        <v>38</v>
      </c>
      <c r="B42" s="52" t="inlineStr">
        <is>
          <t>B9</t>
        </is>
      </c>
      <c r="C42" s="54" t="inlineStr">
        <is>
          <t>ネレイド</t>
        </is>
      </c>
      <c r="D42" s="54" t="inlineStr">
        <is>
          <t>衛星</t>
        </is>
      </c>
      <c r="E42" s="76" t="n">
        <v>4353000000</v>
      </c>
      <c r="F42" s="77" t="n">
        <v>42</v>
      </c>
      <c r="G42" s="78">
        <f>パラメータ!$B$3*パラメータ!$B$4^A42</f>
        <v/>
      </c>
      <c r="H42" s="80">
        <f>F42-F41</f>
        <v/>
      </c>
      <c r="I42" s="72">
        <f>ROUND(パラメータ!$B$5*G41*H42*パラメータ!$B$7*パラメータ!$B$6,-2)</f>
        <v/>
      </c>
      <c r="J42" s="79">
        <f>E42/INDEX(速度カーブ!$D$4:$D$13,MATCH(B42,速度カーブ!$A$4:$A$13,0))</f>
        <v/>
      </c>
      <c r="K42" s="54" t="inlineStr">
        <is>
          <t>氷</t>
        </is>
      </c>
      <c r="L42" s="52" t="n"/>
    </row>
    <row r="43" ht="15" customHeight="1" s="50">
      <c r="A43" s="52" t="n">
        <v>39</v>
      </c>
      <c r="B43" s="52" t="inlineStr">
        <is>
          <t>B10</t>
        </is>
      </c>
      <c r="C43" s="54" t="inlineStr">
        <is>
          <t>冥王星</t>
        </is>
      </c>
      <c r="D43" s="54" t="inlineStr">
        <is>
          <t>準惑星</t>
        </is>
      </c>
      <c r="E43" s="76" t="n">
        <v>5900000000</v>
      </c>
      <c r="F43" s="77" t="n">
        <v>44</v>
      </c>
      <c r="G43" s="78">
        <f>パラメータ!$B$3*パラメータ!$B$4^A43</f>
        <v/>
      </c>
      <c r="H43" s="80">
        <f>F43-F42</f>
        <v/>
      </c>
      <c r="I43" s="72">
        <f>ROUND(パラメータ!$B$5*G42*H43*パラメータ!$B$7*パラメータ!$B$6,-2)</f>
        <v/>
      </c>
      <c r="J43" s="79">
        <f>E43/INDEX(速度カーブ!$D$4:$D$13,MATCH(B43,速度カーブ!$A$4:$A$13,0))</f>
        <v/>
      </c>
      <c r="K43" s="54" t="inlineStr">
        <is>
          <t>窒素氷・メタン氷</t>
        </is>
      </c>
      <c r="L43" s="52" t="n"/>
    </row>
    <row r="44" ht="15" customHeight="1" s="50">
      <c r="A44" s="52" t="n">
        <v>40</v>
      </c>
      <c r="B44" s="52" t="inlineStr">
        <is>
          <t>B10</t>
        </is>
      </c>
      <c r="C44" s="54" t="inlineStr">
        <is>
          <t>カロン</t>
        </is>
      </c>
      <c r="D44" s="54" t="inlineStr">
        <is>
          <t>衛星</t>
        </is>
      </c>
      <c r="E44" s="76" t="n">
        <v>5901000000</v>
      </c>
      <c r="F44" s="77" t="n">
        <v>46.5</v>
      </c>
      <c r="G44" s="78">
        <f>パラメータ!$B$3*パラメータ!$B$4^A44</f>
        <v/>
      </c>
      <c r="H44" s="80">
        <f>F44-F43</f>
        <v/>
      </c>
      <c r="I44" s="72">
        <f>ROUND(パラメータ!$B$5*G43*H44*パラメータ!$B$7*パラメータ!$B$6,-2)</f>
        <v/>
      </c>
      <c r="J44" s="79">
        <f>E44/INDEX(速度カーブ!$D$4:$D$13,MATCH(B44,速度カーブ!$A$4:$A$13,0))</f>
        <v/>
      </c>
      <c r="K44" s="54" t="inlineStr">
        <is>
          <t>氷</t>
        </is>
      </c>
      <c r="L44" s="52" t="n"/>
    </row>
    <row r="45" ht="15" customHeight="1" s="50">
      <c r="A45" s="52" t="n">
        <v>41</v>
      </c>
      <c r="B45" s="52" t="inlineStr">
        <is>
          <t>B10</t>
        </is>
      </c>
      <c r="C45" s="54" t="inlineStr">
        <is>
          <t>ハウメア</t>
        </is>
      </c>
      <c r="D45" s="54" t="inlineStr">
        <is>
          <t>準惑星</t>
        </is>
      </c>
      <c r="E45" s="76" t="n">
        <v>6450000000</v>
      </c>
      <c r="F45" s="77" t="n">
        <v>49</v>
      </c>
      <c r="G45" s="78">
        <f>パラメータ!$B$3*パラメータ!$B$4^A45</f>
        <v/>
      </c>
      <c r="H45" s="80">
        <f>F45-F44</f>
        <v/>
      </c>
      <c r="I45" s="72">
        <f>ROUND(パラメータ!$B$5*G44*H45*パラメータ!$B$7*パラメータ!$B$6,-2)</f>
        <v/>
      </c>
      <c r="J45" s="79">
        <f>E45/INDEX(速度カーブ!$D$4:$D$13,MATCH(B45,速度カーブ!$A$4:$A$13,0))</f>
        <v/>
      </c>
      <c r="K45" s="54" t="inlineStr">
        <is>
          <t>氷</t>
        </is>
      </c>
      <c r="L45" s="52" t="n"/>
    </row>
    <row r="46" ht="15" customHeight="1" s="50">
      <c r="A46" s="52" t="n">
        <v>42</v>
      </c>
      <c r="B46" s="52" t="inlineStr">
        <is>
          <t>B10</t>
        </is>
      </c>
      <c r="C46" s="54" t="inlineStr">
        <is>
          <t>マケマケ</t>
        </is>
      </c>
      <c r="D46" s="54" t="inlineStr">
        <is>
          <t>準惑星</t>
        </is>
      </c>
      <c r="E46" s="76" t="n">
        <v>6800000000</v>
      </c>
      <c r="F46" s="77" t="n">
        <v>52</v>
      </c>
      <c r="G46" s="78">
        <f>パラメータ!$B$3*パラメータ!$B$4^A46</f>
        <v/>
      </c>
      <c r="H46" s="80">
        <f>F46-F45</f>
        <v/>
      </c>
      <c r="I46" s="72">
        <f>ROUND(パラメータ!$B$5*G45*H46*パラメータ!$B$7*パラメータ!$B$6,-2)</f>
        <v/>
      </c>
      <c r="J46" s="79">
        <f>E46/INDEX(速度カーブ!$D$4:$D$13,MATCH(B46,速度カーブ!$A$4:$A$13,0))</f>
        <v/>
      </c>
      <c r="K46" s="54" t="inlineStr">
        <is>
          <t>メタン氷</t>
        </is>
      </c>
      <c r="L46" s="52" t="n"/>
    </row>
    <row r="47" ht="15" customHeight="1" s="50">
      <c r="A47" s="52" t="n">
        <v>43</v>
      </c>
      <c r="B47" s="52" t="inlineStr">
        <is>
          <t>B10</t>
        </is>
      </c>
      <c r="C47" s="54" t="inlineStr">
        <is>
          <t>クワオアー</t>
        </is>
      </c>
      <c r="D47" s="54" t="inlineStr">
        <is>
          <t>外縁天体</t>
        </is>
      </c>
      <c r="E47" s="76" t="n">
        <v>6500000000</v>
      </c>
      <c r="F47" s="77" t="n">
        <v>56</v>
      </c>
      <c r="G47" s="78">
        <f>パラメータ!$B$3*パラメータ!$B$4^A47</f>
        <v/>
      </c>
      <c r="H47" s="80">
        <f>F47-F46</f>
        <v/>
      </c>
      <c r="I47" s="72">
        <f>ROUND(パラメータ!$B$5*G46*H47*パラメータ!$B$7*パラメータ!$B$6,-2)</f>
        <v/>
      </c>
      <c r="J47" s="79">
        <f>E47/INDEX(速度カーブ!$D$4:$D$13,MATCH(B47,速度カーブ!$A$4:$A$13,0))</f>
        <v/>
      </c>
      <c r="K47" s="54" t="inlineStr">
        <is>
          <t>氷</t>
        </is>
      </c>
      <c r="L47" s="52" t="n"/>
    </row>
    <row r="48" ht="15" customHeight="1" s="50">
      <c r="A48" s="52" t="n">
        <v>44</v>
      </c>
      <c r="B48" s="52" t="inlineStr">
        <is>
          <t>B10</t>
        </is>
      </c>
      <c r="C48" s="54" t="inlineStr">
        <is>
          <t>エリス</t>
        </is>
      </c>
      <c r="D48" s="54" t="inlineStr">
        <is>
          <t>準惑星</t>
        </is>
      </c>
      <c r="E48" s="76" t="n">
        <v>10200000000</v>
      </c>
      <c r="F48" s="77" t="n">
        <v>60</v>
      </c>
      <c r="G48" s="78">
        <f>パラメータ!$B$3*パラメータ!$B$4^A48</f>
        <v/>
      </c>
      <c r="H48" s="80">
        <f>F48-F47</f>
        <v/>
      </c>
      <c r="I48" s="72">
        <f>ROUND(パラメータ!$B$5*G47*H48*パラメータ!$B$7*パラメータ!$B$6,-2)</f>
        <v/>
      </c>
      <c r="J48" s="79">
        <f>E48/INDEX(速度カーブ!$D$4:$D$13,MATCH(B48,速度カーブ!$A$4:$A$13,0))</f>
        <v/>
      </c>
      <c r="K48" s="54" t="inlineStr">
        <is>
          <t>メタン氷</t>
        </is>
      </c>
      <c r="L48" s="52" t="n"/>
    </row>
    <row r="49" ht="15" customHeight="1" s="50">
      <c r="A49" s="52" t="n">
        <v>45</v>
      </c>
      <c r="B49" s="52" t="inlineStr">
        <is>
          <t>B10</t>
        </is>
      </c>
      <c r="C49" s="54" t="inlineStr">
        <is>
          <t>アロコス</t>
        </is>
      </c>
      <c r="D49" s="54" t="inlineStr">
        <is>
          <t>外縁天体</t>
        </is>
      </c>
      <c r="E49" s="76" t="n">
        <v>6600000000</v>
      </c>
      <c r="F49" s="77" t="n">
        <v>65</v>
      </c>
      <c r="G49" s="78">
        <f>パラメータ!$B$3*パラメータ!$B$4^A49</f>
        <v/>
      </c>
      <c r="H49" s="80">
        <f>F49-F48</f>
        <v/>
      </c>
      <c r="I49" s="72">
        <f>ROUND(パラメータ!$B$5*G48*H49*パラメータ!$B$7*パラメータ!$B$6,-2)</f>
        <v/>
      </c>
      <c r="J49" s="79">
        <f>E49/INDEX(速度カーブ!$D$4:$D$13,MATCH(B49,速度カーブ!$A$4:$A$13,0))</f>
        <v/>
      </c>
      <c r="K49" s="54" t="inlineStr">
        <is>
          <t>氷・有機物</t>
        </is>
      </c>
      <c r="L49" s="52" t="n"/>
    </row>
    <row r="50" ht="15" customHeight="1" s="50">
      <c r="A50" s="52" t="n">
        <v>46</v>
      </c>
      <c r="B50" s="52" t="inlineStr">
        <is>
          <t>B10</t>
        </is>
      </c>
      <c r="C50" s="54" t="inlineStr">
        <is>
          <t>エンケ彗星</t>
        </is>
      </c>
      <c r="D50" s="54" t="inlineStr">
        <is>
          <t>彗星</t>
        </is>
      </c>
      <c r="E50" s="76" t="n">
        <v>250000000</v>
      </c>
      <c r="F50" s="77" t="n">
        <v>70</v>
      </c>
      <c r="G50" s="78">
        <f>パラメータ!$B$3*パラメータ!$B$4^A50</f>
        <v/>
      </c>
      <c r="H50" s="80">
        <f>F50-F49</f>
        <v/>
      </c>
      <c r="I50" s="72">
        <f>ROUND(パラメータ!$B$5*G49*H50*パラメータ!$B$7*パラメータ!$B$6,-2)</f>
        <v/>
      </c>
      <c r="J50" s="79">
        <f>E50/INDEX(速度カーブ!$D$4:$D$13,MATCH(B50,速度カーブ!$A$4:$A$13,0))</f>
        <v/>
      </c>
      <c r="K50" s="54" t="inlineStr">
        <is>
          <t>氷・塵</t>
        </is>
      </c>
      <c r="L50" s="54" t="inlineStr">
        <is>
          <t>距離は接近時目安・片道時間は短い</t>
        </is>
      </c>
    </row>
    <row r="51" ht="16.5" customHeight="1" s="50">
      <c r="A51" s="52" t="n">
        <v>47</v>
      </c>
      <c r="B51" s="52" t="inlineStr">
        <is>
          <t>B10</t>
        </is>
      </c>
      <c r="C51" s="52" t="inlineStr">
        <is>
          <t>67P/チュリュモフ・ゲラシメンコ</t>
        </is>
      </c>
      <c r="D51" s="54" t="inlineStr">
        <is>
          <t>彗星</t>
        </is>
      </c>
      <c r="E51" s="76" t="n">
        <v>450000000</v>
      </c>
      <c r="F51" s="77" t="n">
        <v>76</v>
      </c>
      <c r="G51" s="78">
        <f>パラメータ!$B$3*パラメータ!$B$4^A51</f>
        <v/>
      </c>
      <c r="H51" s="80">
        <f>F51-F50</f>
        <v/>
      </c>
      <c r="I51" s="72">
        <f>ROUND(パラメータ!$B$5*G50*H51*パラメータ!$B$7*パラメータ!$B$6,-2)</f>
        <v/>
      </c>
      <c r="J51" s="79">
        <f>E51/INDEX(速度カーブ!$D$4:$D$13,MATCH(B51,速度カーブ!$A$4:$A$13,0))</f>
        <v/>
      </c>
      <c r="K51" s="54" t="inlineStr">
        <is>
          <t>氷・有機物</t>
        </is>
      </c>
      <c r="L51" s="54" t="inlineStr">
        <is>
          <t>距離は接近時目安</t>
        </is>
      </c>
    </row>
    <row r="52" ht="15" customHeight="1" s="50">
      <c r="A52" s="52" t="n">
        <v>48</v>
      </c>
      <c r="B52" s="52" t="inlineStr">
        <is>
          <t>B10</t>
        </is>
      </c>
      <c r="C52" s="54" t="inlineStr">
        <is>
          <t>ハレー彗星</t>
        </is>
      </c>
      <c r="D52" s="54" t="inlineStr">
        <is>
          <t>彗星</t>
        </is>
      </c>
      <c r="E52" s="76" t="n">
        <v>5300000000</v>
      </c>
      <c r="F52" s="77" t="n">
        <v>82</v>
      </c>
      <c r="G52" s="78">
        <f>パラメータ!$B$3*パラメータ!$B$4^A52</f>
        <v/>
      </c>
      <c r="H52" s="80">
        <f>F52-F51</f>
        <v/>
      </c>
      <c r="I52" s="72">
        <f>ROUND(パラメータ!$B$5*G51*H52*パラメータ!$B$7*パラメータ!$B$6,-2)</f>
        <v/>
      </c>
      <c r="J52" s="79">
        <f>E52/INDEX(速度カーブ!$D$4:$D$13,MATCH(B52,速度カーブ!$A$4:$A$13,0))</f>
        <v/>
      </c>
      <c r="K52" s="54" t="inlineStr">
        <is>
          <t>氷・塵</t>
        </is>
      </c>
      <c r="L52" s="54" t="inlineStr">
        <is>
          <t>遠日点側の代表値</t>
        </is>
      </c>
    </row>
    <row r="53" ht="16.5" customHeight="1" s="50">
      <c r="A53" s="52" t="n">
        <v>49</v>
      </c>
      <c r="B53" s="52" t="inlineStr">
        <is>
          <t>B10</t>
        </is>
      </c>
      <c r="C53" s="54" t="inlineStr">
        <is>
          <t>セドナ</t>
        </is>
      </c>
      <c r="D53" s="54" t="inlineStr">
        <is>
          <t>外縁天体</t>
        </is>
      </c>
      <c r="E53" s="76" t="n">
        <v>13000000000</v>
      </c>
      <c r="F53" s="77" t="n">
        <v>90</v>
      </c>
      <c r="G53" s="78">
        <f>パラメータ!$B$3*パラメータ!$B$4^A53</f>
        <v/>
      </c>
      <c r="H53" s="80">
        <f>F53-F52</f>
        <v/>
      </c>
      <c r="I53" s="72">
        <f>ROUND(パラメータ!$B$5*G52*H53*パラメータ!$B$7*パラメータ!$B$6,-2)</f>
        <v/>
      </c>
      <c r="J53" s="79">
        <f>E53/INDEX(速度カーブ!$D$4:$D$13,MATCH(B53,速度カーブ!$A$4:$A$13,0))</f>
        <v/>
      </c>
      <c r="K53" s="54" t="inlineStr">
        <is>
          <t>希少物質(ゲーム用設定)</t>
        </is>
      </c>
      <c r="L53" s="54" t="inlineStr">
        <is>
          <t>最終天体</t>
        </is>
      </c>
    </row>
    <row r="55" ht="16.5" customHeight="1" s="50">
      <c r="A55" s="54" t="inlineStr">
        <is>
          <t>アンロック価格 = α × 直前天体の収入レート × Δt日 × 有効秒/日 × 支出比率s(=その区間で稼げる額のうち s を天体購入に充てると到達できる価格)</t>
        </is>
      </c>
    </row>
    <row r="56" ht="16.5" customHeight="1" s="50">
      <c r="A56" s="54" t="inlineStr">
        <is>
          <t>片道時間=実距離÷開放時点の統一速度(速度カーブ参照)。その後の速度成長でさらに短縮される。彗星は実距離が近いため終盤でも数十秒。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9" min="1" max="1"/>
    <col width="44" customWidth="1" style="49" min="2" max="2"/>
    <col width="18" customWidth="1" style="49" min="3" max="3"/>
    <col width="13" customWidth="1" style="49" min="4" max="4"/>
    <col width="18" customWidth="1" style="49" min="5" max="5"/>
    <col width="20" customWidth="1" style="49" min="6" max="6"/>
    <col width="52" customWidth="1" style="49" min="7" max="7"/>
  </cols>
  <sheetData>
    <row r="1" ht="20.1" customHeight="1" s="50">
      <c r="A1" s="81" t="inlineStr">
        <is>
          <t>精錬・加工(Smelt &amp; Craft)― 加工品価格は成分の当日市況から自動計算(市況連動が加工品まで波及)</t>
        </is>
      </c>
    </row>
    <row r="3" ht="15" customHeight="1" s="50">
      <c r="A3" s="82" t="inlineStr">
        <is>
          <t>【二層価格ルール】</t>
        </is>
      </c>
    </row>
    <row r="4" ht="17.15" customHeight="1" s="50">
      <c r="A4" s="52" t="inlineStr">
        <is>
          <t>1. 採掘物は「鉱石」:鉱石の売却単価 = 対応金属の当日価格 × 品位係数(天体ごと・下記パラメータ)。そのまま売れば安いが即時</t>
        </is>
      </c>
    </row>
    <row r="5" ht="17.15" customHeight="1" s="50">
      <c r="A5" s="52" t="inlineStr">
        <is>
          <t>2. 精錬所(ステーション)で精錬すると「金属」になり、当日のLME/スポット価格そのままで売却できる(回収率を乗算)</t>
        </is>
      </c>
    </row>
    <row r="6" ht="17.15" customHeight="1" s="50">
      <c r="A6" s="52" t="inlineStr">
        <is>
          <t>3. さらに加工(合金・材料)すると付加価値が乗る。加工品価格 = Σ(成分量×当日成分価格) × 加工プレミアム → 成分市況に自動連動</t>
        </is>
      </c>
    </row>
    <row r="7" ht="17.15" customHeight="1" s="50">
      <c r="A7" s="52" t="inlineStr">
        <is>
          <t>4. 精錬・加工は時間がかかる(キュー式・放置で進行)。「すぐ売る」vs「時間をかけて高く売る」のトレードオフ</t>
        </is>
      </c>
    </row>
    <row r="10" ht="17.15" customHeight="1" s="50">
      <c r="A10" s="82" t="inlineStr">
        <is>
          <t>【精錬パラメータ(青字=調整用)】</t>
        </is>
      </c>
    </row>
    <row r="11" ht="17.15" customHeight="1" s="50">
      <c r="A11" s="83" t="inlineStr">
        <is>
          <t>鉱石の品位係数(標準)</t>
        </is>
      </c>
      <c r="B11" s="84" t="n">
        <v>0.35</v>
      </c>
      <c r="C11" s="83" t="inlineStr">
        <is>
          <t>鉱石売値=金属価格×0.35。天体により0.2〜0.5</t>
        </is>
      </c>
    </row>
    <row r="12" ht="17.15" customHeight="1" s="50">
      <c r="A12" s="83" t="inlineStr">
        <is>
          <t>精錬回収率(Lv1)</t>
        </is>
      </c>
      <c r="B12" s="84" t="n">
        <v>0.7</v>
      </c>
      <c r="C12" s="83" t="inlineStr">
        <is>
          <t>強化で最大0.95。精錬売値=金属価格×回収率</t>
        </is>
      </c>
    </row>
    <row r="13" ht="17.15" customHeight="1" s="50">
      <c r="A13" s="83" t="inlineStr">
        <is>
          <t>精錬処理能力 Lv1(kg/時)</t>
        </is>
      </c>
      <c r="B13" s="56" t="n">
        <v>500</v>
      </c>
      <c r="C13" s="83" t="inlineStr">
        <is>
          <t>強化+25%/Lv・マイルストーン×2</t>
        </is>
      </c>
    </row>
    <row r="16" ht="17.15" customHeight="1" s="50">
      <c r="A16" s="82" t="inlineStr">
        <is>
          <t>【加工レシピ】成分単価は資源マスタの当日価格に自動連動。実勢参考価格に合うよう加工プレミアム(青字)を調整済み</t>
        </is>
      </c>
    </row>
    <row r="17" ht="17.15" customHeight="1" s="50">
      <c r="A17" s="85" t="inlineStr">
        <is>
          <t>加工品</t>
        </is>
      </c>
      <c r="B17" s="85" t="inlineStr">
        <is>
          <t>レシピ(1kgあたり成分)</t>
        </is>
      </c>
      <c r="C17" s="85" t="inlineStr">
        <is>
          <t>成分コスト(NOVA/kg)</t>
        </is>
      </c>
      <c r="D17" s="85" t="inlineStr">
        <is>
          <t>加工プレミアム</t>
        </is>
      </c>
      <c r="E17" s="85" t="inlineStr">
        <is>
          <t>販売単価(NOVA/kg)</t>
        </is>
      </c>
      <c r="F17" s="85" t="inlineStr">
        <is>
          <t>実勢参考</t>
        </is>
      </c>
      <c r="G17" s="85" t="inlineStr">
        <is>
          <t>金型メモ</t>
        </is>
      </c>
    </row>
    <row r="18" ht="17.15" customHeight="1" s="50">
      <c r="A18" s="83" t="inlineStr">
        <is>
          <t>鋼(スチール)</t>
        </is>
      </c>
      <c r="B18" s="83" t="inlineStr">
        <is>
          <t>鉄1.0+石炭0.5(コークス)</t>
        </is>
      </c>
      <c r="C18" s="72">
        <f>資源マスタ!$D$4*1+資源マスタ!$D$5*0.5</f>
        <v/>
      </c>
      <c r="D18" s="57" t="n">
        <v>5</v>
      </c>
      <c r="E18" s="86">
        <f>C18*D18</f>
        <v/>
      </c>
      <c r="F18" s="83" t="inlineStr">
        <is>
          <t>熱延コイル 約$0.85/kg</t>
        </is>
      </c>
      <c r="G18" s="52" t="inlineStr">
        <is>
          <t>SS400・S45C等の母材。製鉄に石炭=地球の石炭に用途</t>
        </is>
      </c>
    </row>
    <row r="19" ht="17.15" customHeight="1" s="50">
      <c r="A19" s="83" t="inlineStr">
        <is>
          <t>ステンレス鋼</t>
        </is>
      </c>
      <c r="B19" s="83" t="inlineStr">
        <is>
          <t>鋼0.72+クロム0.18+ニッケル0.10</t>
        </is>
      </c>
      <c r="C19" s="72">
        <f>C18*0.72+資源マスタ!$D$11*0.18+資源マスタ!$D$15*0.1</f>
        <v/>
      </c>
      <c r="D19" s="57" t="n">
        <v>1.1</v>
      </c>
      <c r="E19" s="86">
        <f>C19*D19</f>
        <v/>
      </c>
      <c r="F19" s="52" t="inlineStr">
        <is>
          <t>SUS304 約$3/kg</t>
        </is>
      </c>
      <c r="G19" s="52" t="n"/>
    </row>
    <row r="20" ht="17.15" customHeight="1" s="50">
      <c r="A20" s="83" t="inlineStr">
        <is>
          <t>合金工具鋼(ダイス鋼)</t>
        </is>
      </c>
      <c r="B20" s="83" t="inlineStr">
        <is>
          <t>鋼0.85+クロム0.12+モリブデン0.01+バナジウム0.005</t>
        </is>
      </c>
      <c r="C20" s="72">
        <f>C18*0.85+資源マスタ!$D$11*0.12+資源マスタ!$D$19*0.01+資源マスタ!$D$16*0.005</f>
        <v/>
      </c>
      <c r="D20" s="57" t="n">
        <v>5.5</v>
      </c>
      <c r="E20" s="86">
        <f>C20*D20</f>
        <v/>
      </c>
      <c r="F20" s="52" t="inlineStr">
        <is>
          <t>SKD11相当 約$10/kg</t>
        </is>
      </c>
      <c r="G20" s="52" t="inlineStr">
        <is>
          <t>★SKD11の組成そのもの(13%Cr系)</t>
        </is>
      </c>
    </row>
    <row r="21" ht="17.15" customHeight="1" s="50">
      <c r="A21" s="83" t="inlineStr">
        <is>
          <t>高速度鋼(ハイス)</t>
        </is>
      </c>
      <c r="B21" s="83" t="inlineStr">
        <is>
          <t>鋼0.8+W0.06+Mo0.05+Cr0.04+V0.02+Co0.05</t>
        </is>
      </c>
      <c r="C21" s="72">
        <f>C18*0.8+資源マスタ!$D$20*0.06+資源マスタ!$D$19*0.05+資源マスタ!$D$11*0.04+資源マスタ!$D$16*0.02+資源マスタ!$D$17*0.05</f>
        <v/>
      </c>
      <c r="D21" s="57" t="n">
        <v>1.8</v>
      </c>
      <c r="E21" s="86">
        <f>C21*D21</f>
        <v/>
      </c>
      <c r="F21" s="52" t="inlineStr">
        <is>
          <t>SKH51相当 約$30/kg</t>
        </is>
      </c>
      <c r="G21" s="52" t="inlineStr">
        <is>
          <t>★SKH51の組成そのもの</t>
        </is>
      </c>
    </row>
    <row r="22" ht="17.15" customHeight="1" s="50">
      <c r="A22" s="83" t="inlineStr">
        <is>
          <t>超硬合金</t>
        </is>
      </c>
      <c r="B22" s="83" t="inlineStr">
        <is>
          <t>タングステン0.85+コバルト0.10+炭素0.05</t>
        </is>
      </c>
      <c r="C22" s="72">
        <f>資源マスタ!$D$20*0.85+資源マスタ!$D$17*0.1+資源マスタ!$D$5*0.05</f>
        <v/>
      </c>
      <c r="D22" s="57" t="n">
        <v>1.5</v>
      </c>
      <c r="E22" s="86">
        <f>C22*D22</f>
        <v/>
      </c>
      <c r="F22" s="83" t="inlineStr">
        <is>
          <t>超硬素材 $200〜300/kg</t>
        </is>
      </c>
      <c r="G22" s="52" t="inlineStr">
        <is>
          <t>★WC+Co。タングステン高騰が超硬価格に直結する現実の構図が数式に</t>
        </is>
      </c>
    </row>
    <row r="23" ht="17.15" customHeight="1" s="50">
      <c r="A23" s="83" t="inlineStr">
        <is>
          <t>青銅</t>
        </is>
      </c>
      <c r="B23" s="83" t="inlineStr">
        <is>
          <t>銅0.88+錫0.12</t>
        </is>
      </c>
      <c r="C23" s="72">
        <f>資源マスタ!$D$14*0.88+資源マスタ!$D$18*0.12</f>
        <v/>
      </c>
      <c r="D23" s="57" t="n">
        <v>1.2</v>
      </c>
      <c r="E23" s="86">
        <f>C23*D23</f>
        <v/>
      </c>
      <c r="F23" s="83" t="inlineStr">
        <is>
          <t>砲金系 約$15/kg</t>
        </is>
      </c>
      <c r="G23" s="52" t="n"/>
    </row>
    <row r="26" ht="17.15" customHeight="1" s="50">
      <c r="A26" s="83" t="inlineStr">
        <is>
          <t>加工品の用途:①高値売却 ②船・設備の建造/強化素材(例:船体強化=チタン合金、金型研究=ダイス鋼) ③納品契約の対象</t>
        </is>
      </c>
    </row>
    <row r="27" ht="17.15" customHeight="1" s="50">
      <c r="A27" s="83" t="inlineStr">
        <is>
          <t>教育効果:社員がゲーム内で超硬(W+Co)やダイス鋼(鋼+Cr+Mo+V)を合成する=金型材の組成を体で覚える</t>
        </is>
      </c>
    </row>
    <row r="28" ht="17.15" customHeight="1" s="50">
      <c r="A28" s="52" t="inlineStr">
        <is>
          <t>実装フェーズ(決定):精錬(鉱石→金属)はMVPから実装。MVP対象=鉄・ニッケル・チタンの3種。合金加工はv1.1で追加</t>
        </is>
      </c>
    </row>
    <row r="30">
      <c r="A30" s="93" t="inlineStr">
        <is>
          <t>鉄の精錬(MVP):鉄鉱石(指数$105/t)→銑鉄(参考$420/t≒11,046 NOVA/kg)×回収率。鉄だけは鉱石指数と銑鉄価格が両方実在=二層価格の教材(チュートリアルで使用)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49" min="1" max="1"/>
    <col width="22" customWidth="1" style="49" min="2" max="2"/>
    <col width="16" customWidth="1" style="49" min="3" max="3"/>
    <col width="18" customWidth="1" style="49" min="4" max="4"/>
    <col width="12" customWidth="1" style="49" min="5" max="6"/>
  </cols>
  <sheetData>
    <row r="1" ht="19.5" customHeight="1" s="50">
      <c r="A1" s="51" t="inlineStr">
        <is>
          <t>全船統一速度カーブ(バンド到達時の航行研究レベルで決まる共通速度)</t>
        </is>
      </c>
    </row>
    <row r="3" ht="16.5" customHeight="1" s="50">
      <c r="A3" s="61" t="inlineStr">
        <is>
          <t>バンド</t>
        </is>
      </c>
      <c r="B3" s="61" t="inlineStr">
        <is>
          <t>代表距離(km・バンド最遠)</t>
        </is>
      </c>
      <c r="C3" s="61" t="inlineStr">
        <is>
          <t>目標片道時間(分)</t>
        </is>
      </c>
      <c r="D3" s="61" t="inlineStr">
        <is>
          <t>必要速度S(km/分)</t>
        </is>
      </c>
      <c r="E3" s="61" t="inlineStr">
        <is>
          <t>対前バンド比</t>
        </is>
      </c>
      <c r="F3" s="61" t="inlineStr">
        <is>
          <t>到達目安(日)</t>
        </is>
      </c>
    </row>
    <row r="4" ht="15" customHeight="1" s="50">
      <c r="A4" s="52" t="inlineStr">
        <is>
          <t>B1</t>
        </is>
      </c>
      <c r="B4" s="76" t="n">
        <v>380000</v>
      </c>
      <c r="C4" s="57" t="n">
        <v>1</v>
      </c>
      <c r="D4" s="86">
        <f>B4/C4</f>
        <v/>
      </c>
      <c r="E4" s="54" t="inlineStr">
        <is>
          <t>基準</t>
        </is>
      </c>
      <c r="F4" s="52" t="n">
        <v>0</v>
      </c>
    </row>
    <row r="5" ht="15" customHeight="1" s="50">
      <c r="A5" s="52" t="inlineStr">
        <is>
          <t>B2</t>
        </is>
      </c>
      <c r="B5" s="76" t="n">
        <v>25000000</v>
      </c>
      <c r="C5" s="57" t="n">
        <v>5</v>
      </c>
      <c r="D5" s="86">
        <f>B5/C5</f>
        <v/>
      </c>
      <c r="E5" s="87">
        <f>D5/D4</f>
        <v/>
      </c>
      <c r="F5" s="52" t="n">
        <v>0.2</v>
      </c>
    </row>
    <row r="6" ht="15" customHeight="1" s="50">
      <c r="A6" s="52" t="inlineStr">
        <is>
          <t>B3</t>
        </is>
      </c>
      <c r="B6" s="76" t="n">
        <v>77000000</v>
      </c>
      <c r="C6" s="57" t="n">
        <v>10</v>
      </c>
      <c r="D6" s="86">
        <f>B6/C6</f>
        <v/>
      </c>
      <c r="E6" s="87">
        <f>D6/D5</f>
        <v/>
      </c>
      <c r="F6" s="52" t="n">
        <v>2</v>
      </c>
    </row>
    <row r="7" ht="15" customHeight="1" s="50">
      <c r="A7" s="52" t="inlineStr">
        <is>
          <t>B4</t>
        </is>
      </c>
      <c r="B7" s="76" t="n">
        <v>78200000</v>
      </c>
      <c r="C7" s="57" t="n">
        <v>10</v>
      </c>
      <c r="D7" s="86">
        <f>B7/C7</f>
        <v/>
      </c>
      <c r="E7" s="87">
        <f>D7/D6</f>
        <v/>
      </c>
      <c r="F7" s="52" t="n">
        <v>3</v>
      </c>
    </row>
    <row r="8" ht="15" customHeight="1" s="50">
      <c r="A8" s="52" t="inlineStr">
        <is>
          <t>B5</t>
        </is>
      </c>
      <c r="B8" s="76" t="n">
        <v>370000000</v>
      </c>
      <c r="C8" s="57" t="n">
        <v>12</v>
      </c>
      <c r="D8" s="86">
        <f>B8/C8</f>
        <v/>
      </c>
      <c r="E8" s="87">
        <f>D8/D7</f>
        <v/>
      </c>
      <c r="F8" s="52" t="n">
        <v>5</v>
      </c>
    </row>
    <row r="9" ht="15" customHeight="1" s="50">
      <c r="A9" s="52" t="inlineStr">
        <is>
          <t>B6</t>
        </is>
      </c>
      <c r="B9" s="76" t="n">
        <v>634000000</v>
      </c>
      <c r="C9" s="57" t="n">
        <v>13</v>
      </c>
      <c r="D9" s="86">
        <f>B9/C9</f>
        <v/>
      </c>
      <c r="E9" s="87">
        <f>D9/D8</f>
        <v/>
      </c>
      <c r="F9" s="52" t="n">
        <v>10</v>
      </c>
    </row>
    <row r="10" ht="15" customHeight="1" s="50">
      <c r="A10" s="52" t="inlineStr">
        <is>
          <t>B7</t>
        </is>
      </c>
      <c r="B10" s="76" t="n">
        <v>1287000000</v>
      </c>
      <c r="C10" s="57" t="n">
        <v>20</v>
      </c>
      <c r="D10" s="86">
        <f>B10/C10</f>
        <v/>
      </c>
      <c r="E10" s="87">
        <f>D10/D9</f>
        <v/>
      </c>
      <c r="F10" s="52" t="n">
        <v>15</v>
      </c>
    </row>
    <row r="11" ht="15" customHeight="1" s="50">
      <c r="A11" s="52" t="inlineStr">
        <is>
          <t>B8</t>
        </is>
      </c>
      <c r="B11" s="76" t="n">
        <v>2705000000</v>
      </c>
      <c r="C11" s="57" t="n">
        <v>30</v>
      </c>
      <c r="D11" s="86">
        <f>B11/C11</f>
        <v/>
      </c>
      <c r="E11" s="87">
        <f>D11/D10</f>
        <v/>
      </c>
      <c r="F11" s="52" t="n">
        <v>25.5</v>
      </c>
    </row>
    <row r="12" ht="15" customHeight="1" s="50">
      <c r="A12" s="52" t="inlineStr">
        <is>
          <t>B9</t>
        </is>
      </c>
      <c r="B12" s="76" t="n">
        <v>4353000000</v>
      </c>
      <c r="C12" s="57" t="n">
        <v>45</v>
      </c>
      <c r="D12" s="86">
        <f>B12/C12</f>
        <v/>
      </c>
      <c r="E12" s="87">
        <f>D12/D11</f>
        <v/>
      </c>
      <c r="F12" s="52" t="n">
        <v>36</v>
      </c>
    </row>
    <row r="13" ht="15" customHeight="1" s="50">
      <c r="A13" s="52" t="inlineStr">
        <is>
          <t>B10</t>
        </is>
      </c>
      <c r="B13" s="76" t="n">
        <v>13000000000</v>
      </c>
      <c r="C13" s="57" t="n">
        <v>120</v>
      </c>
      <c r="D13" s="86">
        <f>B13/C13</f>
        <v/>
      </c>
      <c r="E13" s="87">
        <f>D13/D12</f>
        <v/>
      </c>
      <c r="F13" s="52" t="n">
        <v>44</v>
      </c>
    </row>
    <row r="15" ht="16.5" customHeight="1" s="50">
      <c r="A15" s="59" t="inlineStr">
        <is>
          <t>速度は全船共通・船種差なし(高速船は廃止)。B1→B2の×13は「惑星間航行エンジン解禁」演出。</t>
        </is>
      </c>
    </row>
    <row r="16" ht="16.5" customHeight="1" s="50">
      <c r="A16" s="59" t="inlineStr">
        <is>
          <t>終盤(B7以降)は意図的に速度成長を鈍らせ、最前線の片道を20分→30分→45分→セドナ約2時間へ段階的に延ばす。外縁便は「就寝前に出す」遊び。</t>
        </is>
      </c>
    </row>
    <row r="17" ht="15" customHeight="1" s="50">
      <c r="A17" s="59" t="inlineStr">
        <is>
          <t>青字の目標片道時間を変えると、必要速度と天体マスタの全片道時間が連動して再計算される。対前バンド比が1.0未満にならないよう注意(速度は単調増加)。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9" min="1" max="1"/>
    <col width="16" customWidth="1" style="49" min="2" max="2"/>
    <col width="20" customWidth="1" style="49" min="3" max="3"/>
    <col width="11" customWidth="1" style="49" min="4" max="5"/>
    <col width="9" customWidth="1" style="49" min="6" max="6"/>
    <col width="10" customWidth="1" style="49" min="7" max="7"/>
    <col width="18" customWidth="1" style="49" min="8" max="8"/>
    <col width="16" customWidth="1" style="49" min="9" max="9"/>
    <col width="9" customWidth="1" style="49" min="10" max="10"/>
  </cols>
  <sheetData>
    <row r="1" ht="19.5" customHeight="1" s="50">
      <c r="A1" s="51" t="inlineStr">
        <is>
          <t>船・積載・輸送の数値設計 ― 持ち帰り換金モデル(収入=着艦時に当日市況で売却)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</row>
    <row r="2" ht="15" customHeight="1" s="50">
      <c r="A2" s="52" t="n"/>
      <c r="B2" s="52" t="n"/>
      <c r="C2" s="52" t="n"/>
      <c r="D2" s="52" t="n"/>
      <c r="E2" s="52" t="n"/>
      <c r="F2" s="52" t="n"/>
      <c r="G2" s="52" t="n"/>
      <c r="H2" s="52" t="n"/>
      <c r="I2" s="52" t="n"/>
    </row>
    <row r="3" ht="16.5" customHeight="1" s="50">
      <c r="A3" s="52" t="inlineStr">
        <is>
          <t>1. 収入イベントは着艦時のみ。船は「飛ぶ→掘る→満杯→帰る→売る→再出発」を自動ループ(操作は方針決めだけ)</t>
        </is>
      </c>
      <c r="B3" s="52" t="n"/>
      <c r="C3" s="52" t="n"/>
      <c r="D3" s="52" t="n"/>
      <c r="E3" s="52" t="n"/>
      <c r="F3" s="52" t="n"/>
      <c r="G3" s="52" t="n"/>
      <c r="H3" s="52" t="n"/>
      <c r="I3" s="52" t="n"/>
    </row>
    <row r="4" ht="16.5" customHeight="1" s="50">
      <c r="A4" s="52" t="inlineStr">
        <is>
          <t>2. 資源の2階級制:収入資源(高単価・軽量=金属・貴金属・He3・ウラン・希少物質)/素材資源(バルク=水・氷・メタン等。研究・建造・契約用で売り物ではない)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</row>
    <row r="5" ht="16.5" customHeight="1" s="50">
      <c r="A5" s="52" t="inlineStr">
        <is>
          <t>3. 輸送船=採掘船を常駐させて自分がピストンする増強手段。現地ストレージ満杯=搬出不足のサイン→採掘停止</t>
        </is>
      </c>
      <c r="B5" s="52" t="n"/>
      <c r="C5" s="52" t="n"/>
      <c r="D5" s="52" t="n"/>
      <c r="E5" s="52" t="n"/>
      <c r="F5" s="52" t="n"/>
      <c r="G5" s="52" t="n"/>
      <c r="H5" s="52" t="n"/>
      <c r="I5" s="52" t="n"/>
    </row>
    <row r="6" ht="16.5" customHeight="1" s="50">
      <c r="A6" s="52" t="inlineStr">
        <is>
          <t>4. 外縁バンドの収入アンカーはHe3(現実の採取構想でも天王星・海王星が本命=科学的裏付けあり)</t>
        </is>
      </c>
      <c r="B6" s="52" t="n"/>
      <c r="C6" s="52" t="n"/>
      <c r="D6" s="52" t="n"/>
      <c r="E6" s="52" t="n"/>
      <c r="F6" s="52" t="n"/>
      <c r="G6" s="52" t="n"/>
      <c r="H6" s="52" t="n"/>
      <c r="I6" s="52" t="n"/>
    </row>
    <row r="7" ht="16.5" customHeight="1" s="50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</row>
    <row r="8" ht="15" customHeight="1" s="50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</row>
    <row r="9" ht="16.5" customHeight="1" s="50">
      <c r="A9" s="88" t="inlineStr">
        <is>
          <t>【船パラメータ(Lv1基準・青字=調整用)】</t>
        </is>
      </c>
      <c r="B9" s="52" t="n"/>
      <c r="C9" s="52" t="n"/>
      <c r="D9" s="52" t="n"/>
      <c r="E9" s="52" t="n"/>
      <c r="F9" s="52" t="n"/>
      <c r="G9" s="52" t="n"/>
      <c r="H9" s="52" t="n"/>
      <c r="I9" s="52" t="n"/>
    </row>
    <row r="10" ht="16.5" customHeight="1" s="50">
      <c r="A10" s="54" t="inlineStr">
        <is>
          <t>採掘船:採掘レート基準(kg/秒)</t>
        </is>
      </c>
      <c r="B10" s="56" t="n">
        <v>3</v>
      </c>
      <c r="C10" s="54" t="inlineStr">
        <is>
          <t>強化+12%/Lv・マイルストーン×2(Lv10/25/50)</t>
        </is>
      </c>
      <c r="D10" s="52" t="n"/>
      <c r="E10" s="52" t="n"/>
      <c r="F10" s="52" t="n"/>
      <c r="G10" s="52" t="n"/>
      <c r="H10" s="52" t="n"/>
      <c r="I10" s="52" t="n"/>
    </row>
    <row r="11" ht="16.5" customHeight="1" s="50">
      <c r="A11" s="54" t="inlineStr">
        <is>
          <t>採掘船:積載量(kg)</t>
        </is>
      </c>
      <c r="B11" s="56" t="n">
        <v>180</v>
      </c>
      <c r="C11" s="54" t="inlineStr">
        <is>
          <t>強化+25%/Lv・マイルストーン×2</t>
        </is>
      </c>
      <c r="D11" s="52" t="n"/>
      <c r="E11" s="52" t="n"/>
      <c r="F11" s="52" t="n"/>
      <c r="G11" s="52" t="n"/>
      <c r="H11" s="52" t="n"/>
      <c r="I11" s="52" t="n"/>
    </row>
    <row r="12" ht="16.5" customHeight="1" s="50">
      <c r="A12" s="54" t="inlineStr">
        <is>
          <t>輸送船:積載量(kg)</t>
        </is>
      </c>
      <c r="B12" s="56" t="n">
        <v>500</v>
      </c>
      <c r="C12" s="54" t="inlineStr">
        <is>
          <t>強化+30%/Lv・マイルストーン×2</t>
        </is>
      </c>
      <c r="D12" s="52" t="n"/>
      <c r="E12" s="52" t="n"/>
      <c r="F12" s="52" t="n"/>
      <c r="G12" s="52" t="n"/>
      <c r="H12" s="52" t="n"/>
      <c r="I12" s="52" t="n"/>
    </row>
    <row r="13" ht="16.5" customHeight="1" s="50">
      <c r="A13" s="54" t="inlineStr">
        <is>
          <t>積込+荷降ろし(秒/往復)</t>
        </is>
      </c>
      <c r="B13" s="56" t="n">
        <v>120</v>
      </c>
      <c r="C13" s="54" t="inlineStr">
        <is>
          <t>自動化Lvで短縮</t>
        </is>
      </c>
      <c r="D13" s="52" t="n"/>
      <c r="E13" s="52" t="n"/>
      <c r="F13" s="52" t="n"/>
      <c r="G13" s="52" t="n"/>
      <c r="H13" s="52" t="n"/>
      <c r="I13" s="52" t="n"/>
    </row>
    <row r="14" ht="16.5" customHeight="1" s="50">
      <c r="A14" s="54" t="inlineStr">
        <is>
          <t>船の建造コスト(現フロンティア収入の秒数分)</t>
        </is>
      </c>
      <c r="B14" s="56" t="n">
        <v>1800</v>
      </c>
      <c r="C14" s="54" t="inlineStr">
        <is>
          <t>建造コスト = v_frontier × 1,800</t>
        </is>
      </c>
      <c r="D14" s="52" t="n"/>
      <c r="E14" s="52" t="n"/>
      <c r="F14" s="52" t="n"/>
      <c r="G14" s="52" t="n"/>
      <c r="H14" s="52" t="n"/>
      <c r="I14" s="52" t="n"/>
    </row>
    <row r="15" ht="15" customHeight="1" s="50">
      <c r="A15" s="52" t="n"/>
      <c r="B15" s="80" t="n"/>
      <c r="C15" s="52" t="n"/>
      <c r="D15" s="52" t="n"/>
      <c r="E15" s="52" t="n"/>
      <c r="F15" s="52" t="n"/>
      <c r="G15" s="52" t="n"/>
      <c r="H15" s="52" t="n"/>
      <c r="I15" s="52" t="n"/>
    </row>
    <row r="16" ht="16.5" customHeight="1" s="50">
      <c r="A16" s="52" t="n"/>
      <c r="B16" s="86" t="n"/>
      <c r="C16" s="52" t="n"/>
      <c r="D16" s="52" t="n"/>
      <c r="E16" s="52" t="n"/>
      <c r="F16" s="52" t="n"/>
      <c r="G16" s="52" t="n"/>
      <c r="H16" s="52" t="n"/>
      <c r="I16" s="52" t="n"/>
    </row>
    <row r="17" ht="16.5" customHeight="1" s="50">
      <c r="A17" s="88" t="inlineStr">
        <is>
          <t>【1便あたりの経済(採掘船単独ループの検算)】周期=片道×2+採掘時間(積載÷M)+積込。収入レート=積載×P̄÷周期</t>
        </is>
      </c>
      <c r="B17" s="52" t="n"/>
      <c r="C17" s="52" t="n"/>
      <c r="D17" s="52" t="n"/>
      <c r="E17" s="52" t="n"/>
      <c r="F17" s="52" t="n"/>
      <c r="G17" s="52" t="n"/>
      <c r="H17" s="52" t="n"/>
      <c r="I17" s="52" t="n"/>
    </row>
    <row r="18" ht="16.5" customHeight="1" s="50">
      <c r="A18" s="61" t="inlineStr">
        <is>
          <t>天体</t>
        </is>
      </c>
      <c r="B18" s="61" t="inlineStr">
        <is>
          <t>目標v(NOVA/s)</t>
        </is>
      </c>
      <c r="C18" s="61" t="inlineStr">
        <is>
          <t>収入資源P̄(NOVA/kg)</t>
        </is>
      </c>
      <c r="D18" s="61" t="inlineStr">
        <is>
          <t>積載C(kg)</t>
        </is>
      </c>
      <c r="E18" s="61" t="inlineStr">
        <is>
          <t>採掘M(kg/s)</t>
        </is>
      </c>
      <c r="F18" s="61" t="inlineStr">
        <is>
          <t>片道(分)</t>
        </is>
      </c>
      <c r="G18" s="61" t="inlineStr">
        <is>
          <t>周期(秒)</t>
        </is>
      </c>
      <c r="H18" s="75" t="inlineStr">
        <is>
          <t>1便の売上(NOVA)</t>
        </is>
      </c>
      <c r="I18" s="61" t="inlineStr">
        <is>
          <t>実収入(NOVA/s)</t>
        </is>
      </c>
      <c r="J18" s="61" t="inlineStr">
        <is>
          <t>対目標</t>
        </is>
      </c>
    </row>
    <row r="19" ht="16.5" customHeight="1" s="50">
      <c r="A19" s="54" t="inlineStr">
        <is>
          <t>月(鉄・チタン)</t>
        </is>
      </c>
      <c r="B19" s="86" t="n">
        <v>2762</v>
      </c>
      <c r="C19" s="74" t="n">
        <v>4200</v>
      </c>
      <c r="D19" s="73" t="n">
        <v>180</v>
      </c>
      <c r="E19" s="71" t="n">
        <v>3</v>
      </c>
      <c r="F19" s="77" t="n">
        <v>1</v>
      </c>
      <c r="G19" s="86">
        <f>F19*2*60+D19/E19+$B$13</f>
        <v/>
      </c>
      <c r="H19" s="86">
        <f>D19*C19</f>
        <v/>
      </c>
      <c r="I19" s="86">
        <f>H19/G19</f>
        <v/>
      </c>
      <c r="J19" s="89">
        <f>I19/B19</f>
        <v/>
      </c>
    </row>
    <row r="20" ht="16.5" customHeight="1" s="50">
      <c r="A20" s="54" t="inlineStr">
        <is>
          <t>火星(鉄)</t>
        </is>
      </c>
      <c r="B20" s="86" t="n">
        <v>19282</v>
      </c>
      <c r="C20" s="74" t="n">
        <v>2762</v>
      </c>
      <c r="D20" s="73" t="n">
        <v>1500</v>
      </c>
      <c r="E20" s="71" t="n">
        <v>12</v>
      </c>
      <c r="F20" s="77" t="n">
        <v>10</v>
      </c>
      <c r="G20" s="86">
        <f>F20*2*60+D20/E20+$B$13</f>
        <v/>
      </c>
      <c r="H20" s="86">
        <f>D20*C20</f>
        <v/>
      </c>
      <c r="I20" s="86">
        <f>H20/G20</f>
        <v/>
      </c>
      <c r="J20" s="89">
        <f>I20/B20</f>
        <v/>
      </c>
    </row>
    <row r="21" ht="15" customHeight="1" s="50">
      <c r="A21" s="54" t="inlineStr">
        <is>
          <t>プシケ(貴金属混合)</t>
        </is>
      </c>
      <c r="B21" s="86" t="n">
        <v>177878</v>
      </c>
      <c r="C21" s="74" t="n">
        <v>250000</v>
      </c>
      <c r="D21" s="73" t="n">
        <v>900</v>
      </c>
      <c r="E21" s="71" t="n">
        <v>1.2</v>
      </c>
      <c r="F21" s="77" t="n">
        <v>6.9</v>
      </c>
      <c r="G21" s="86">
        <f>F21*2*60+D21/E21+$B$13</f>
        <v/>
      </c>
      <c r="H21" s="86">
        <f>D21*C21</f>
        <v/>
      </c>
      <c r="I21" s="86">
        <f>H21/G21</f>
        <v/>
      </c>
      <c r="J21" s="89">
        <f>I21/B21</f>
        <v/>
      </c>
    </row>
    <row r="22" ht="15" customHeight="1" s="50">
      <c r="A22" s="54" t="inlineStr">
        <is>
          <t>土星圏(He3・タイタン炭化水素)</t>
        </is>
      </c>
      <c r="B22" s="86" t="n">
        <v>940151</v>
      </c>
      <c r="C22" s="74" t="n">
        <v>2500000</v>
      </c>
      <c r="D22" s="73" t="n">
        <v>600</v>
      </c>
      <c r="E22" s="71" t="n">
        <v>0.5</v>
      </c>
      <c r="F22" s="77" t="n">
        <v>20</v>
      </c>
      <c r="G22" s="86">
        <f>F22*2*60+D22/E22+$B$13</f>
        <v/>
      </c>
      <c r="H22" s="86">
        <f>D22*C22</f>
        <v/>
      </c>
      <c r="I22" s="86">
        <f>H22/G22</f>
        <v/>
      </c>
      <c r="J22" s="89">
        <f>I22/B22</f>
        <v/>
      </c>
    </row>
    <row r="23" ht="15" customHeight="1" s="50">
      <c r="A23" s="54" t="inlineStr">
        <is>
          <t>海王星(He3)</t>
        </is>
      </c>
      <c r="B23" s="86" t="n">
        <v>105427627</v>
      </c>
      <c r="C23" s="74" t="n">
        <v>100000000000</v>
      </c>
      <c r="D23" s="73" t="n">
        <v>2</v>
      </c>
      <c r="E23" s="71" t="n">
        <v>0.001</v>
      </c>
      <c r="F23" s="77" t="n">
        <v>45</v>
      </c>
      <c r="G23" s="86">
        <f>F23*2*60+D23/E23+$B$13</f>
        <v/>
      </c>
      <c r="H23" s="86">
        <f>D23*C23</f>
        <v/>
      </c>
      <c r="I23" s="86">
        <f>H23/G23</f>
        <v/>
      </c>
      <c r="J23" s="89">
        <f>I23/B23</f>
        <v/>
      </c>
    </row>
    <row r="24" ht="15" customHeight="1" s="50">
      <c r="A24" s="54" t="inlineStr">
        <is>
          <t>セドナ(希少物質)</t>
        </is>
      </c>
      <c r="B24" s="86" t="n">
        <v>2234949306</v>
      </c>
      <c r="C24" s="74" t="n">
        <v>500000000000</v>
      </c>
      <c r="D24" s="73" t="n">
        <v>40</v>
      </c>
      <c r="E24" s="71" t="n">
        <v>0.004</v>
      </c>
      <c r="F24" s="77" t="n">
        <v>120</v>
      </c>
      <c r="G24" s="86">
        <f>F24*2*60+D24/E24+$B$13</f>
        <v/>
      </c>
      <c r="H24" s="86">
        <f>D24*C24</f>
        <v/>
      </c>
      <c r="I24" s="86">
        <f>H24/G24</f>
        <v/>
      </c>
      <c r="J24" s="89">
        <f>I24/B24</f>
        <v/>
      </c>
    </row>
    <row r="25" ht="15" customHeight="1" s="50">
      <c r="A25" s="52" t="n"/>
      <c r="B25" s="86" t="n"/>
      <c r="C25" s="52" t="n"/>
      <c r="D25" s="52" t="n"/>
      <c r="E25" s="52" t="n"/>
      <c r="F25" s="52" t="n"/>
      <c r="G25" s="52" t="n"/>
      <c r="H25" s="52" t="n"/>
      <c r="I25" s="52" t="n"/>
    </row>
    <row r="26" ht="15" customHeight="1" s="50">
      <c r="A26" s="54" t="inlineStr">
        <is>
          <t>対目標が100%前後になるようP̄(収入資源の配合)・積載C・採掘Mを各天体で調整する。輸送船ペア(採掘船常駐+ピストン)なら採掘時間が周期から消え、実収入が上振れする。</t>
        </is>
      </c>
      <c r="B26" s="86" t="n"/>
      <c r="C26" s="52" t="n"/>
      <c r="D26" s="52" t="n"/>
      <c r="E26" s="52" t="n"/>
      <c r="F26" s="52" t="n"/>
      <c r="G26" s="52" t="n"/>
      <c r="H26" s="52" t="n"/>
      <c r="I26" s="52" t="n"/>
    </row>
    <row r="27" ht="15" customHeight="1" s="50">
      <c r="A27" s="54" t="inlineStr">
        <is>
          <t>素材資源(バルク)はこの表に含めない(収入計算外)。素材の需要量は研究・建造の要求と納品契約で設計する。</t>
        </is>
      </c>
      <c r="B27" s="86" t="n"/>
      <c r="C27" s="52" t="n"/>
      <c r="D27" s="52" t="n"/>
      <c r="E27" s="52" t="n"/>
      <c r="F27" s="52" t="n"/>
      <c r="G27" s="52" t="n"/>
      <c r="H27" s="52" t="n"/>
      <c r="I27" s="52" t="n"/>
    </row>
    <row r="28" ht="15" customHeight="1" s="50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</row>
    <row r="29" ht="15" customHeight="1" s="50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</row>
    <row r="30" ht="16.5" customHeight="1" s="50">
      <c r="A30" s="52" t="n"/>
      <c r="B30" s="52" t="n"/>
      <c r="C30" s="52" t="n"/>
      <c r="D30" s="52" t="n"/>
      <c r="E30" s="52" t="n"/>
      <c r="F30" s="52" t="n"/>
      <c r="G30" s="52" t="n"/>
      <c r="H30" s="52" t="n"/>
      <c r="I30" s="52" t="n"/>
    </row>
    <row r="31" ht="16.5" customHeight="1" s="50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</row>
    <row r="32" ht="16.5" customHeight="1" s="50">
      <c r="A32" s="52" t="n"/>
      <c r="B32" s="86" t="n"/>
      <c r="C32" s="86" t="n"/>
      <c r="D32" s="90" t="n"/>
      <c r="E32" s="80" t="n"/>
      <c r="F32" s="86" t="n"/>
      <c r="G32" s="86" t="n"/>
      <c r="H32" s="52" t="n"/>
      <c r="I32" s="52" t="n"/>
    </row>
    <row r="33" ht="16.5" customHeight="1" s="50">
      <c r="A33" s="52" t="n"/>
      <c r="B33" s="86" t="n"/>
      <c r="C33" s="86" t="n"/>
      <c r="D33" s="90" t="n"/>
      <c r="E33" s="80" t="n"/>
      <c r="F33" s="86" t="n"/>
      <c r="G33" s="86" t="n"/>
      <c r="H33" s="52" t="n"/>
      <c r="I33" s="52" t="n"/>
    </row>
    <row r="34" ht="16.5" customHeight="1" s="50">
      <c r="A34" s="52" t="n"/>
      <c r="B34" s="86" t="n"/>
      <c r="C34" s="86" t="n"/>
      <c r="D34" s="90" t="n"/>
      <c r="E34" s="80" t="n"/>
      <c r="F34" s="86" t="n"/>
      <c r="G34" s="86" t="n"/>
      <c r="H34" s="52" t="n"/>
      <c r="I34" s="52" t="n"/>
    </row>
    <row r="35" ht="16.5" customHeight="1" s="50">
      <c r="A35" s="52" t="n"/>
      <c r="B35" s="86" t="n"/>
      <c r="C35" s="86" t="n"/>
      <c r="D35" s="90" t="n"/>
      <c r="E35" s="80" t="n"/>
      <c r="F35" s="86" t="n"/>
      <c r="G35" s="86" t="n"/>
      <c r="H35" s="52" t="n"/>
      <c r="I35" s="52" t="n"/>
    </row>
    <row r="36" ht="16.5" customHeight="1" s="50">
      <c r="A36" s="52" t="n"/>
      <c r="B36" s="86" t="n"/>
      <c r="C36" s="86" t="n"/>
      <c r="D36" s="90" t="n"/>
      <c r="E36" s="80" t="n"/>
      <c r="F36" s="86" t="n"/>
      <c r="G36" s="86" t="n"/>
      <c r="H36" s="52" t="n"/>
      <c r="I36" s="52" t="n"/>
    </row>
    <row r="37" ht="16.5" customHeight="1" s="50">
      <c r="A37" s="52" t="n"/>
      <c r="B37" s="86" t="n"/>
      <c r="C37" s="86" t="n"/>
      <c r="D37" s="90" t="n"/>
      <c r="E37" s="80" t="n"/>
      <c r="F37" s="86" t="n"/>
      <c r="G37" s="86" t="n"/>
      <c r="H37" s="52" t="n"/>
      <c r="I37" s="52" t="n"/>
    </row>
    <row r="38" ht="15" customHeight="1" s="50">
      <c r="A38" s="52" t="n"/>
      <c r="B38" s="52" t="n"/>
      <c r="C38" s="52" t="n"/>
      <c r="D38" s="52" t="n"/>
      <c r="E38" s="52" t="n"/>
      <c r="F38" s="52" t="n"/>
      <c r="G38" s="52" t="n"/>
      <c r="H38" s="52" t="n"/>
      <c r="I38" s="52" t="n"/>
    </row>
    <row r="39" ht="16.5" customHeight="1" s="50">
      <c r="A39" s="52" t="n"/>
      <c r="B39" s="52" t="n"/>
      <c r="C39" s="52" t="n"/>
      <c r="D39" s="52" t="n"/>
      <c r="E39" s="52" t="n"/>
      <c r="F39" s="52" t="n"/>
      <c r="G39" s="52" t="n"/>
      <c r="H39" s="52" t="n"/>
      <c r="I39" s="52" t="n"/>
    </row>
    <row r="40" ht="16.5" customHeight="1" s="50">
      <c r="A40" s="52" t="n"/>
      <c r="B40" s="52" t="n"/>
      <c r="C40" s="52" t="n"/>
      <c r="D40" s="52" t="n"/>
      <c r="E40" s="52" t="n"/>
      <c r="F40" s="52" t="n"/>
      <c r="G40" s="52" t="n"/>
      <c r="H40" s="52" t="n"/>
      <c r="I40" s="52" t="n"/>
    </row>
    <row r="41" ht="16.5" customHeight="1" s="50">
      <c r="A41" s="52" t="n"/>
      <c r="B41" s="52" t="n"/>
      <c r="C41" s="52" t="n"/>
      <c r="D41" s="52" t="n"/>
      <c r="E41" s="52" t="n"/>
      <c r="F41" s="52" t="n"/>
      <c r="G41" s="52" t="n"/>
      <c r="H41" s="52" t="n"/>
      <c r="I41" s="52" t="n"/>
    </row>
    <row r="42" ht="16.5" customHeight="1" s="50">
      <c r="A42" s="52" t="n"/>
      <c r="B42" s="52" t="n"/>
      <c r="C42" s="52" t="n"/>
      <c r="D42" s="52" t="n"/>
      <c r="E42" s="52" t="n"/>
      <c r="F42" s="52" t="n"/>
      <c r="G42" s="52" t="n"/>
      <c r="H42" s="52" t="n"/>
      <c r="I42" s="52" t="n"/>
    </row>
    <row r="43" ht="15" customHeight="1" s="50">
      <c r="A43" s="52" t="n"/>
      <c r="B43" s="52" t="n"/>
      <c r="C43" s="52" t="n"/>
      <c r="D43" s="52" t="n"/>
      <c r="E43" s="52" t="n"/>
      <c r="F43" s="52" t="n"/>
      <c r="G43" s="52" t="n"/>
      <c r="H43" s="52" t="n"/>
      <c r="I43" s="52" t="n"/>
    </row>
    <row r="44" ht="15" customHeight="1" s="50">
      <c r="A44" s="52" t="n"/>
      <c r="B44" s="52" t="n"/>
      <c r="C44" s="52" t="n"/>
      <c r="D44" s="52" t="n"/>
      <c r="E44" s="52" t="n"/>
      <c r="F44" s="52" t="n"/>
      <c r="G44" s="52" t="n"/>
      <c r="H44" s="52" t="n"/>
      <c r="I44" s="52" t="n"/>
    </row>
    <row r="45" ht="15" customHeight="1" s="50">
      <c r="A45" s="52" t="n"/>
      <c r="B45" s="52" t="n"/>
      <c r="C45" s="52" t="n"/>
      <c r="D45" s="52" t="n"/>
      <c r="E45" s="52" t="n"/>
      <c r="F45" s="52" t="n"/>
      <c r="G45" s="52" t="n"/>
      <c r="H45" s="52" t="n"/>
      <c r="I45" s="5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49" min="1" max="1"/>
    <col width="14" customWidth="1" style="49" min="2" max="2"/>
    <col width="16" customWidth="1" style="49" min="3" max="3"/>
    <col width="12" customWidth="1" style="49" min="4" max="4"/>
  </cols>
  <sheetData>
    <row r="1" ht="19.5" customHeight="1" s="50">
      <c r="A1" s="51" t="inlineStr">
        <is>
          <t>採掘速度アップグレードの汎用曲線(1天体分の例)</t>
        </is>
      </c>
    </row>
    <row r="3" ht="16.5" customHeight="1" s="50">
      <c r="A3" s="52" t="inlineStr">
        <is>
          <t>C0:Lv1コスト(例=対象天体アンロック価格の10%、VND桁)</t>
        </is>
      </c>
      <c r="B3" s="55" t="n">
        <v>27600000</v>
      </c>
    </row>
    <row r="4" ht="16.5" customHeight="1" s="50">
      <c r="A4" s="54" t="inlineStr">
        <is>
          <t>コスト成長率(Lvごと)</t>
        </is>
      </c>
      <c r="B4" s="55" t="n">
        <v>1.55</v>
      </c>
    </row>
    <row r="5" ht="16.5" customHeight="1" s="50">
      <c r="A5" s="54" t="inlineStr">
        <is>
          <t>効果成長率(Lvごと)</t>
        </is>
      </c>
      <c r="B5" s="55" t="n">
        <v>1.12</v>
      </c>
    </row>
    <row r="6" ht="16.5" customHeight="1" s="50">
      <c r="A6" s="54" t="inlineStr">
        <is>
          <t>マイルストーン倍率(Lv10/25/50到達時)</t>
        </is>
      </c>
      <c r="B6" s="55" t="n">
        <v>2</v>
      </c>
    </row>
    <row r="8" ht="16.5" customHeight="1" s="50">
      <c r="A8" s="75" t="inlineStr">
        <is>
          <t>Lv</t>
        </is>
      </c>
      <c r="B8" s="61" t="inlineStr">
        <is>
          <t>コスト(cr)</t>
        </is>
      </c>
      <c r="C8" s="61" t="inlineStr">
        <is>
          <t>累積コスト(cr)</t>
        </is>
      </c>
      <c r="D8" s="61" t="inlineStr">
        <is>
          <t>効果倍率(×)</t>
        </is>
      </c>
    </row>
    <row r="9" ht="15" customHeight="1" s="50">
      <c r="A9" s="52" t="n">
        <v>1</v>
      </c>
      <c r="B9" s="86">
        <f>$B$3*$B$4^(A9-1)</f>
        <v/>
      </c>
      <c r="C9" s="86">
        <f>B9</f>
        <v/>
      </c>
      <c r="D9" s="91">
        <f>$B$5^(A9-1)*IF(A9&gt;=10,$B$6,1)*IF(A9&gt;=25,$B$6,1)*IF(A9&gt;=50,$B$6,1)</f>
        <v/>
      </c>
    </row>
    <row r="10" ht="15" customHeight="1" s="50">
      <c r="A10" s="52" t="n">
        <v>2</v>
      </c>
      <c r="B10" s="86">
        <f>$B$3*$B$4^(A10-1)</f>
        <v/>
      </c>
      <c r="C10" s="86">
        <f>C9+B10</f>
        <v/>
      </c>
      <c r="D10" s="91">
        <f>$B$5^(A10-1)*IF(A10&gt;=10,$B$6,1)*IF(A10&gt;=25,$B$6,1)*IF(A10&gt;=50,$B$6,1)</f>
        <v/>
      </c>
    </row>
    <row r="11" ht="15" customHeight="1" s="50">
      <c r="A11" s="52" t="n">
        <v>3</v>
      </c>
      <c r="B11" s="86">
        <f>$B$3*$B$4^(A11-1)</f>
        <v/>
      </c>
      <c r="C11" s="86">
        <f>C10+B11</f>
        <v/>
      </c>
      <c r="D11" s="91">
        <f>$B$5^(A11-1)*IF(A11&gt;=10,$B$6,1)*IF(A11&gt;=25,$B$6,1)*IF(A11&gt;=50,$B$6,1)</f>
        <v/>
      </c>
    </row>
    <row r="12" ht="15" customHeight="1" s="50">
      <c r="A12" s="52" t="n">
        <v>4</v>
      </c>
      <c r="B12" s="86">
        <f>$B$3*$B$4^(A12-1)</f>
        <v/>
      </c>
      <c r="C12" s="86">
        <f>C11+B12</f>
        <v/>
      </c>
      <c r="D12" s="91">
        <f>$B$5^(A12-1)*IF(A12&gt;=10,$B$6,1)*IF(A12&gt;=25,$B$6,1)*IF(A12&gt;=50,$B$6,1)</f>
        <v/>
      </c>
    </row>
    <row r="13" ht="15" customHeight="1" s="50">
      <c r="A13" s="52" t="n">
        <v>5</v>
      </c>
      <c r="B13" s="86">
        <f>$B$3*$B$4^(A13-1)</f>
        <v/>
      </c>
      <c r="C13" s="86">
        <f>C12+B13</f>
        <v/>
      </c>
      <c r="D13" s="91">
        <f>$B$5^(A13-1)*IF(A13&gt;=10,$B$6,1)*IF(A13&gt;=25,$B$6,1)*IF(A13&gt;=50,$B$6,1)</f>
        <v/>
      </c>
    </row>
    <row r="14" ht="15" customHeight="1" s="50">
      <c r="A14" s="52" t="n">
        <v>6</v>
      </c>
      <c r="B14" s="86">
        <f>$B$3*$B$4^(A14-1)</f>
        <v/>
      </c>
      <c r="C14" s="86">
        <f>C13+B14</f>
        <v/>
      </c>
      <c r="D14" s="91">
        <f>$B$5^(A14-1)*IF(A14&gt;=10,$B$6,1)*IF(A14&gt;=25,$B$6,1)*IF(A14&gt;=50,$B$6,1)</f>
        <v/>
      </c>
    </row>
    <row r="15" ht="15" customHeight="1" s="50">
      <c r="A15" s="52" t="n">
        <v>7</v>
      </c>
      <c r="B15" s="86">
        <f>$B$3*$B$4^(A15-1)</f>
        <v/>
      </c>
      <c r="C15" s="86">
        <f>C14+B15</f>
        <v/>
      </c>
      <c r="D15" s="91">
        <f>$B$5^(A15-1)*IF(A15&gt;=10,$B$6,1)*IF(A15&gt;=25,$B$6,1)*IF(A15&gt;=50,$B$6,1)</f>
        <v/>
      </c>
    </row>
    <row r="16" ht="15" customHeight="1" s="50">
      <c r="A16" s="52" t="n">
        <v>8</v>
      </c>
      <c r="B16" s="86">
        <f>$B$3*$B$4^(A16-1)</f>
        <v/>
      </c>
      <c r="C16" s="86">
        <f>C15+B16</f>
        <v/>
      </c>
      <c r="D16" s="91">
        <f>$B$5^(A16-1)*IF(A16&gt;=10,$B$6,1)*IF(A16&gt;=25,$B$6,1)*IF(A16&gt;=50,$B$6,1)</f>
        <v/>
      </c>
    </row>
    <row r="17" ht="15" customHeight="1" s="50">
      <c r="A17" s="52" t="n">
        <v>9</v>
      </c>
      <c r="B17" s="86">
        <f>$B$3*$B$4^(A17-1)</f>
        <v/>
      </c>
      <c r="C17" s="86">
        <f>C16+B17</f>
        <v/>
      </c>
      <c r="D17" s="91">
        <f>$B$5^(A17-1)*IF(A17&gt;=10,$B$6,1)*IF(A17&gt;=25,$B$6,1)*IF(A17&gt;=50,$B$6,1)</f>
        <v/>
      </c>
    </row>
    <row r="18" ht="15" customHeight="1" s="50">
      <c r="A18" s="52" t="n">
        <v>10</v>
      </c>
      <c r="B18" s="86">
        <f>$B$3*$B$4^(A18-1)</f>
        <v/>
      </c>
      <c r="C18" s="86">
        <f>C17+B18</f>
        <v/>
      </c>
      <c r="D18" s="91">
        <f>$B$5^(A18-1)*IF(A18&gt;=10,$B$6,1)*IF(A18&gt;=25,$B$6,1)*IF(A18&gt;=50,$B$6,1)</f>
        <v/>
      </c>
    </row>
    <row r="19" ht="15" customHeight="1" s="50">
      <c r="A19" s="52" t="n">
        <v>11</v>
      </c>
      <c r="B19" s="86">
        <f>$B$3*$B$4^(A19-1)</f>
        <v/>
      </c>
      <c r="C19" s="86">
        <f>C18+B19</f>
        <v/>
      </c>
      <c r="D19" s="91">
        <f>$B$5^(A19-1)*IF(A19&gt;=10,$B$6,1)*IF(A19&gt;=25,$B$6,1)*IF(A19&gt;=50,$B$6,1)</f>
        <v/>
      </c>
    </row>
    <row r="20" ht="15" customHeight="1" s="50">
      <c r="A20" s="52" t="n">
        <v>12</v>
      </c>
      <c r="B20" s="86">
        <f>$B$3*$B$4^(A20-1)</f>
        <v/>
      </c>
      <c r="C20" s="86">
        <f>C19+B20</f>
        <v/>
      </c>
      <c r="D20" s="91">
        <f>$B$5^(A20-1)*IF(A20&gt;=10,$B$6,1)*IF(A20&gt;=25,$B$6,1)*IF(A20&gt;=50,$B$6,1)</f>
        <v/>
      </c>
    </row>
    <row r="21" ht="15" customHeight="1" s="50">
      <c r="A21" s="52" t="n">
        <v>13</v>
      </c>
      <c r="B21" s="86">
        <f>$B$3*$B$4^(A21-1)</f>
        <v/>
      </c>
      <c r="C21" s="86">
        <f>C20+B21</f>
        <v/>
      </c>
      <c r="D21" s="91">
        <f>$B$5^(A21-1)*IF(A21&gt;=10,$B$6,1)*IF(A21&gt;=25,$B$6,1)*IF(A21&gt;=50,$B$6,1)</f>
        <v/>
      </c>
    </row>
    <row r="22" ht="15" customHeight="1" s="50">
      <c r="A22" s="52" t="n">
        <v>14</v>
      </c>
      <c r="B22" s="86">
        <f>$B$3*$B$4^(A22-1)</f>
        <v/>
      </c>
      <c r="C22" s="86">
        <f>C21+B22</f>
        <v/>
      </c>
      <c r="D22" s="91">
        <f>$B$5^(A22-1)*IF(A22&gt;=10,$B$6,1)*IF(A22&gt;=25,$B$6,1)*IF(A22&gt;=50,$B$6,1)</f>
        <v/>
      </c>
    </row>
    <row r="23" ht="15" customHeight="1" s="50">
      <c r="A23" s="52" t="n">
        <v>15</v>
      </c>
      <c r="B23" s="86">
        <f>$B$3*$B$4^(A23-1)</f>
        <v/>
      </c>
      <c r="C23" s="86">
        <f>C22+B23</f>
        <v/>
      </c>
      <c r="D23" s="91">
        <f>$B$5^(A23-1)*IF(A23&gt;=10,$B$6,1)*IF(A23&gt;=25,$B$6,1)*IF(A23&gt;=50,$B$6,1)</f>
        <v/>
      </c>
    </row>
    <row r="24" ht="15" customHeight="1" s="50">
      <c r="A24" s="52" t="n">
        <v>16</v>
      </c>
      <c r="B24" s="86">
        <f>$B$3*$B$4^(A24-1)</f>
        <v/>
      </c>
      <c r="C24" s="86">
        <f>C23+B24</f>
        <v/>
      </c>
      <c r="D24" s="91">
        <f>$B$5^(A24-1)*IF(A24&gt;=10,$B$6,1)*IF(A24&gt;=25,$B$6,1)*IF(A24&gt;=50,$B$6,1)</f>
        <v/>
      </c>
    </row>
    <row r="25" ht="15" customHeight="1" s="50">
      <c r="A25" s="52" t="n">
        <v>17</v>
      </c>
      <c r="B25" s="86">
        <f>$B$3*$B$4^(A25-1)</f>
        <v/>
      </c>
      <c r="C25" s="86">
        <f>C24+B25</f>
        <v/>
      </c>
      <c r="D25" s="91">
        <f>$B$5^(A25-1)*IF(A25&gt;=10,$B$6,1)*IF(A25&gt;=25,$B$6,1)*IF(A25&gt;=50,$B$6,1)</f>
        <v/>
      </c>
    </row>
    <row r="26" ht="15" customHeight="1" s="50">
      <c r="A26" s="52" t="n">
        <v>18</v>
      </c>
      <c r="B26" s="86">
        <f>$B$3*$B$4^(A26-1)</f>
        <v/>
      </c>
      <c r="C26" s="86">
        <f>C25+B26</f>
        <v/>
      </c>
      <c r="D26" s="91">
        <f>$B$5^(A26-1)*IF(A26&gt;=10,$B$6,1)*IF(A26&gt;=25,$B$6,1)*IF(A26&gt;=50,$B$6,1)</f>
        <v/>
      </c>
    </row>
    <row r="27" ht="15" customHeight="1" s="50">
      <c r="A27" s="52" t="n">
        <v>19</v>
      </c>
      <c r="B27" s="86">
        <f>$B$3*$B$4^(A27-1)</f>
        <v/>
      </c>
      <c r="C27" s="86">
        <f>C26+B27</f>
        <v/>
      </c>
      <c r="D27" s="91">
        <f>$B$5^(A27-1)*IF(A27&gt;=10,$B$6,1)*IF(A27&gt;=25,$B$6,1)*IF(A27&gt;=50,$B$6,1)</f>
        <v/>
      </c>
    </row>
    <row r="28" ht="15" customHeight="1" s="50">
      <c r="A28" s="52" t="n">
        <v>20</v>
      </c>
      <c r="B28" s="86">
        <f>$B$3*$B$4^(A28-1)</f>
        <v/>
      </c>
      <c r="C28" s="86">
        <f>C27+B28</f>
        <v/>
      </c>
      <c r="D28" s="91">
        <f>$B$5^(A28-1)*IF(A28&gt;=10,$B$6,1)*IF(A28&gt;=25,$B$6,1)*IF(A28&gt;=50,$B$6,1)</f>
        <v/>
      </c>
    </row>
    <row r="29" ht="15" customHeight="1" s="50">
      <c r="A29" s="52" t="n">
        <v>21</v>
      </c>
      <c r="B29" s="86">
        <f>$B$3*$B$4^(A29-1)</f>
        <v/>
      </c>
      <c r="C29" s="86">
        <f>C28+B29</f>
        <v/>
      </c>
      <c r="D29" s="91">
        <f>$B$5^(A29-1)*IF(A29&gt;=10,$B$6,1)*IF(A29&gt;=25,$B$6,1)*IF(A29&gt;=50,$B$6,1)</f>
        <v/>
      </c>
    </row>
    <row r="30" ht="15" customHeight="1" s="50">
      <c r="A30" s="52" t="n">
        <v>22</v>
      </c>
      <c r="B30" s="86">
        <f>$B$3*$B$4^(A30-1)</f>
        <v/>
      </c>
      <c r="C30" s="86">
        <f>C29+B30</f>
        <v/>
      </c>
      <c r="D30" s="91">
        <f>$B$5^(A30-1)*IF(A30&gt;=10,$B$6,1)*IF(A30&gt;=25,$B$6,1)*IF(A30&gt;=50,$B$6,1)</f>
        <v/>
      </c>
    </row>
    <row r="31" ht="15" customHeight="1" s="50">
      <c r="A31" s="52" t="n">
        <v>23</v>
      </c>
      <c r="B31" s="86">
        <f>$B$3*$B$4^(A31-1)</f>
        <v/>
      </c>
      <c r="C31" s="86">
        <f>C30+B31</f>
        <v/>
      </c>
      <c r="D31" s="91">
        <f>$B$5^(A31-1)*IF(A31&gt;=10,$B$6,1)*IF(A31&gt;=25,$B$6,1)*IF(A31&gt;=50,$B$6,1)</f>
        <v/>
      </c>
    </row>
    <row r="32" ht="15" customHeight="1" s="50">
      <c r="A32" s="52" t="n">
        <v>24</v>
      </c>
      <c r="B32" s="86">
        <f>$B$3*$B$4^(A32-1)</f>
        <v/>
      </c>
      <c r="C32" s="86">
        <f>C31+B32</f>
        <v/>
      </c>
      <c r="D32" s="91">
        <f>$B$5^(A32-1)*IF(A32&gt;=10,$B$6,1)*IF(A32&gt;=25,$B$6,1)*IF(A32&gt;=50,$B$6,1)</f>
        <v/>
      </c>
    </row>
    <row r="33" ht="15" customHeight="1" s="50">
      <c r="A33" s="52" t="n">
        <v>25</v>
      </c>
      <c r="B33" s="86">
        <f>$B$3*$B$4^(A33-1)</f>
        <v/>
      </c>
      <c r="C33" s="86">
        <f>C32+B33</f>
        <v/>
      </c>
      <c r="D33" s="91">
        <f>$B$5^(A33-1)*IF(A33&gt;=10,$B$6,1)*IF(A33&gt;=25,$B$6,1)*IF(A33&gt;=50,$B$6,1)</f>
        <v/>
      </c>
    </row>
    <row r="34" ht="15" customHeight="1" s="50">
      <c r="A34" s="52" t="n">
        <v>26</v>
      </c>
      <c r="B34" s="86">
        <f>$B$3*$B$4^(A34-1)</f>
        <v/>
      </c>
      <c r="C34" s="86">
        <f>C33+B34</f>
        <v/>
      </c>
      <c r="D34" s="91">
        <f>$B$5^(A34-1)*IF(A34&gt;=10,$B$6,1)*IF(A34&gt;=25,$B$6,1)*IF(A34&gt;=50,$B$6,1)</f>
        <v/>
      </c>
    </row>
    <row r="35" ht="15" customHeight="1" s="50">
      <c r="A35" s="52" t="n">
        <v>27</v>
      </c>
      <c r="B35" s="86">
        <f>$B$3*$B$4^(A35-1)</f>
        <v/>
      </c>
      <c r="C35" s="86">
        <f>C34+B35</f>
        <v/>
      </c>
      <c r="D35" s="91">
        <f>$B$5^(A35-1)*IF(A35&gt;=10,$B$6,1)*IF(A35&gt;=25,$B$6,1)*IF(A35&gt;=50,$B$6,1)</f>
        <v/>
      </c>
    </row>
    <row r="36" ht="15" customHeight="1" s="50">
      <c r="A36" s="52" t="n">
        <v>28</v>
      </c>
      <c r="B36" s="86">
        <f>$B$3*$B$4^(A36-1)</f>
        <v/>
      </c>
      <c r="C36" s="86">
        <f>C35+B36</f>
        <v/>
      </c>
      <c r="D36" s="91">
        <f>$B$5^(A36-1)*IF(A36&gt;=10,$B$6,1)*IF(A36&gt;=25,$B$6,1)*IF(A36&gt;=50,$B$6,1)</f>
        <v/>
      </c>
    </row>
    <row r="37" ht="15" customHeight="1" s="50">
      <c r="A37" s="52" t="n">
        <v>29</v>
      </c>
      <c r="B37" s="86">
        <f>$B$3*$B$4^(A37-1)</f>
        <v/>
      </c>
      <c r="C37" s="86">
        <f>C36+B37</f>
        <v/>
      </c>
      <c r="D37" s="91">
        <f>$B$5^(A37-1)*IF(A37&gt;=10,$B$6,1)*IF(A37&gt;=25,$B$6,1)*IF(A37&gt;=50,$B$6,1)</f>
        <v/>
      </c>
    </row>
    <row r="38" ht="15" customHeight="1" s="50">
      <c r="A38" s="52" t="n">
        <v>30</v>
      </c>
      <c r="B38" s="86">
        <f>$B$3*$B$4^(A38-1)</f>
        <v/>
      </c>
      <c r="C38" s="86">
        <f>C37+B38</f>
        <v/>
      </c>
      <c r="D38" s="91">
        <f>$B$5^(A38-1)*IF(A38&gt;=10,$B$6,1)*IF(A38&gt;=25,$B$6,1)*IF(A38&gt;=50,$B$6,1)</f>
        <v/>
      </c>
    </row>
    <row r="39" ht="15" customHeight="1" s="50">
      <c r="A39" s="52" t="n">
        <v>31</v>
      </c>
      <c r="B39" s="86">
        <f>$B$3*$B$4^(A39-1)</f>
        <v/>
      </c>
      <c r="C39" s="86">
        <f>C38+B39</f>
        <v/>
      </c>
      <c r="D39" s="91">
        <f>$B$5^(A39-1)*IF(A39&gt;=10,$B$6,1)*IF(A39&gt;=25,$B$6,1)*IF(A39&gt;=50,$B$6,1)</f>
        <v/>
      </c>
    </row>
    <row r="40" ht="15" customHeight="1" s="50">
      <c r="A40" s="52" t="n">
        <v>32</v>
      </c>
      <c r="B40" s="86">
        <f>$B$3*$B$4^(A40-1)</f>
        <v/>
      </c>
      <c r="C40" s="86">
        <f>C39+B40</f>
        <v/>
      </c>
      <c r="D40" s="91">
        <f>$B$5^(A40-1)*IF(A40&gt;=10,$B$6,1)*IF(A40&gt;=25,$B$6,1)*IF(A40&gt;=50,$B$6,1)</f>
        <v/>
      </c>
    </row>
    <row r="41" ht="15" customHeight="1" s="50">
      <c r="A41" s="52" t="n">
        <v>33</v>
      </c>
      <c r="B41" s="86">
        <f>$B$3*$B$4^(A41-1)</f>
        <v/>
      </c>
      <c r="C41" s="86">
        <f>C40+B41</f>
        <v/>
      </c>
      <c r="D41" s="91">
        <f>$B$5^(A41-1)*IF(A41&gt;=10,$B$6,1)*IF(A41&gt;=25,$B$6,1)*IF(A41&gt;=50,$B$6,1)</f>
        <v/>
      </c>
    </row>
    <row r="42" ht="15" customHeight="1" s="50">
      <c r="A42" s="52" t="n">
        <v>34</v>
      </c>
      <c r="B42" s="86">
        <f>$B$3*$B$4^(A42-1)</f>
        <v/>
      </c>
      <c r="C42" s="86">
        <f>C41+B42</f>
        <v/>
      </c>
      <c r="D42" s="91">
        <f>$B$5^(A42-1)*IF(A42&gt;=10,$B$6,1)*IF(A42&gt;=25,$B$6,1)*IF(A42&gt;=50,$B$6,1)</f>
        <v/>
      </c>
    </row>
    <row r="43" ht="15" customHeight="1" s="50">
      <c r="A43" s="52" t="n">
        <v>35</v>
      </c>
      <c r="B43" s="86">
        <f>$B$3*$B$4^(A43-1)</f>
        <v/>
      </c>
      <c r="C43" s="86">
        <f>C42+B43</f>
        <v/>
      </c>
      <c r="D43" s="91">
        <f>$B$5^(A43-1)*IF(A43&gt;=10,$B$6,1)*IF(A43&gt;=25,$B$6,1)*IF(A43&gt;=50,$B$6,1)</f>
        <v/>
      </c>
    </row>
    <row r="44" ht="15" customHeight="1" s="50">
      <c r="A44" s="52" t="n">
        <v>36</v>
      </c>
      <c r="B44" s="86">
        <f>$B$3*$B$4^(A44-1)</f>
        <v/>
      </c>
      <c r="C44" s="86">
        <f>C43+B44</f>
        <v/>
      </c>
      <c r="D44" s="91">
        <f>$B$5^(A44-1)*IF(A44&gt;=10,$B$6,1)*IF(A44&gt;=25,$B$6,1)*IF(A44&gt;=50,$B$6,1)</f>
        <v/>
      </c>
    </row>
    <row r="45" ht="15" customHeight="1" s="50">
      <c r="A45" s="52" t="n">
        <v>37</v>
      </c>
      <c r="B45" s="86">
        <f>$B$3*$B$4^(A45-1)</f>
        <v/>
      </c>
      <c r="C45" s="86">
        <f>C44+B45</f>
        <v/>
      </c>
      <c r="D45" s="91">
        <f>$B$5^(A45-1)*IF(A45&gt;=10,$B$6,1)*IF(A45&gt;=25,$B$6,1)*IF(A45&gt;=50,$B$6,1)</f>
        <v/>
      </c>
    </row>
    <row r="46" ht="15" customHeight="1" s="50">
      <c r="A46" s="52" t="n">
        <v>38</v>
      </c>
      <c r="B46" s="86">
        <f>$B$3*$B$4^(A46-1)</f>
        <v/>
      </c>
      <c r="C46" s="86">
        <f>C45+B46</f>
        <v/>
      </c>
      <c r="D46" s="91">
        <f>$B$5^(A46-1)*IF(A46&gt;=10,$B$6,1)*IF(A46&gt;=25,$B$6,1)*IF(A46&gt;=50,$B$6,1)</f>
        <v/>
      </c>
    </row>
    <row r="47" ht="15" customHeight="1" s="50">
      <c r="A47" s="52" t="n">
        <v>39</v>
      </c>
      <c r="B47" s="86">
        <f>$B$3*$B$4^(A47-1)</f>
        <v/>
      </c>
      <c r="C47" s="86">
        <f>C46+B47</f>
        <v/>
      </c>
      <c r="D47" s="91">
        <f>$B$5^(A47-1)*IF(A47&gt;=10,$B$6,1)*IF(A47&gt;=25,$B$6,1)*IF(A47&gt;=50,$B$6,1)</f>
        <v/>
      </c>
    </row>
    <row r="48" ht="15" customHeight="1" s="50">
      <c r="A48" s="52" t="n">
        <v>40</v>
      </c>
      <c r="B48" s="86">
        <f>$B$3*$B$4^(A48-1)</f>
        <v/>
      </c>
      <c r="C48" s="86">
        <f>C47+B48</f>
        <v/>
      </c>
      <c r="D48" s="91">
        <f>$B$5^(A48-1)*IF(A48&gt;=10,$B$6,1)*IF(A48&gt;=25,$B$6,1)*IF(A48&gt;=50,$B$6,1)</f>
        <v/>
      </c>
    </row>
    <row r="49" ht="15" customHeight="1" s="50">
      <c r="A49" s="52" t="n">
        <v>41</v>
      </c>
      <c r="B49" s="86">
        <f>$B$3*$B$4^(A49-1)</f>
        <v/>
      </c>
      <c r="C49" s="86">
        <f>C48+B49</f>
        <v/>
      </c>
      <c r="D49" s="91">
        <f>$B$5^(A49-1)*IF(A49&gt;=10,$B$6,1)*IF(A49&gt;=25,$B$6,1)*IF(A49&gt;=50,$B$6,1)</f>
        <v/>
      </c>
    </row>
    <row r="50" ht="15" customHeight="1" s="50">
      <c r="A50" s="52" t="n">
        <v>42</v>
      </c>
      <c r="B50" s="86">
        <f>$B$3*$B$4^(A50-1)</f>
        <v/>
      </c>
      <c r="C50" s="86">
        <f>C49+B50</f>
        <v/>
      </c>
      <c r="D50" s="91">
        <f>$B$5^(A50-1)*IF(A50&gt;=10,$B$6,1)*IF(A50&gt;=25,$B$6,1)*IF(A50&gt;=50,$B$6,1)</f>
        <v/>
      </c>
    </row>
    <row r="51" ht="15" customHeight="1" s="50">
      <c r="A51" s="52" t="n">
        <v>43</v>
      </c>
      <c r="B51" s="86">
        <f>$B$3*$B$4^(A51-1)</f>
        <v/>
      </c>
      <c r="C51" s="86">
        <f>C50+B51</f>
        <v/>
      </c>
      <c r="D51" s="91">
        <f>$B$5^(A51-1)*IF(A51&gt;=10,$B$6,1)*IF(A51&gt;=25,$B$6,1)*IF(A51&gt;=50,$B$6,1)</f>
        <v/>
      </c>
    </row>
    <row r="52" ht="15" customHeight="1" s="50">
      <c r="A52" s="52" t="n">
        <v>44</v>
      </c>
      <c r="B52" s="86">
        <f>$B$3*$B$4^(A52-1)</f>
        <v/>
      </c>
      <c r="C52" s="86">
        <f>C51+B52</f>
        <v/>
      </c>
      <c r="D52" s="91">
        <f>$B$5^(A52-1)*IF(A52&gt;=10,$B$6,1)*IF(A52&gt;=25,$B$6,1)*IF(A52&gt;=50,$B$6,1)</f>
        <v/>
      </c>
    </row>
    <row r="53" ht="15" customHeight="1" s="50">
      <c r="A53" s="52" t="n">
        <v>45</v>
      </c>
      <c r="B53" s="86">
        <f>$B$3*$B$4^(A53-1)</f>
        <v/>
      </c>
      <c r="C53" s="86">
        <f>C52+B53</f>
        <v/>
      </c>
      <c r="D53" s="91">
        <f>$B$5^(A53-1)*IF(A53&gt;=10,$B$6,1)*IF(A53&gt;=25,$B$6,1)*IF(A53&gt;=50,$B$6,1)</f>
        <v/>
      </c>
    </row>
    <row r="54" ht="15" customHeight="1" s="50">
      <c r="A54" s="52" t="n">
        <v>46</v>
      </c>
      <c r="B54" s="86">
        <f>$B$3*$B$4^(A54-1)</f>
        <v/>
      </c>
      <c r="C54" s="86">
        <f>C53+B54</f>
        <v/>
      </c>
      <c r="D54" s="91">
        <f>$B$5^(A54-1)*IF(A54&gt;=10,$B$6,1)*IF(A54&gt;=25,$B$6,1)*IF(A54&gt;=50,$B$6,1)</f>
        <v/>
      </c>
    </row>
    <row r="55" ht="15" customHeight="1" s="50">
      <c r="A55" s="52" t="n">
        <v>47</v>
      </c>
      <c r="B55" s="86">
        <f>$B$3*$B$4^(A55-1)</f>
        <v/>
      </c>
      <c r="C55" s="86">
        <f>C54+B55</f>
        <v/>
      </c>
      <c r="D55" s="91">
        <f>$B$5^(A55-1)*IF(A55&gt;=10,$B$6,1)*IF(A55&gt;=25,$B$6,1)*IF(A55&gt;=50,$B$6,1)</f>
        <v/>
      </c>
    </row>
    <row r="56" ht="15" customHeight="1" s="50">
      <c r="A56" s="52" t="n">
        <v>48</v>
      </c>
      <c r="B56" s="86">
        <f>$B$3*$B$4^(A56-1)</f>
        <v/>
      </c>
      <c r="C56" s="86">
        <f>C55+B56</f>
        <v/>
      </c>
      <c r="D56" s="91">
        <f>$B$5^(A56-1)*IF(A56&gt;=10,$B$6,1)*IF(A56&gt;=25,$B$6,1)*IF(A56&gt;=50,$B$6,1)</f>
        <v/>
      </c>
    </row>
    <row r="57" ht="15" customHeight="1" s="50">
      <c r="A57" s="52" t="n">
        <v>49</v>
      </c>
      <c r="B57" s="86">
        <f>$B$3*$B$4^(A57-1)</f>
        <v/>
      </c>
      <c r="C57" s="86">
        <f>C56+B57</f>
        <v/>
      </c>
      <c r="D57" s="91">
        <f>$B$5^(A57-1)*IF(A57&gt;=10,$B$6,1)*IF(A57&gt;=25,$B$6,1)*IF(A57&gt;=50,$B$6,1)</f>
        <v/>
      </c>
    </row>
    <row r="58" ht="15" customHeight="1" s="50">
      <c r="A58" s="52" t="n">
        <v>50</v>
      </c>
      <c r="B58" s="86">
        <f>$B$3*$B$4^(A58-1)</f>
        <v/>
      </c>
      <c r="C58" s="86">
        <f>C57+B58</f>
        <v/>
      </c>
      <c r="D58" s="91">
        <f>$B$5^(A58-1)*IF(A58&gt;=10,$B$6,1)*IF(A58&gt;=25,$B$6,1)*IF(A58&gt;=50,$B$6,1)</f>
        <v/>
      </c>
    </row>
    <row r="60" ht="16.5" customHeight="1" s="50">
      <c r="A60" s="54" t="inlineStr">
        <is>
          <t>適用対象:採掘速度・積載量・移動速度など全強化に同型の曲線を使い、C0と成長率のみ項目別に変える。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9" min="1" max="1"/>
    <col width="14" customWidth="1" style="49" min="2" max="2"/>
    <col width="18" customWidth="1" style="49" min="3" max="3"/>
    <col width="16" customWidth="1" style="49" min="4" max="4"/>
    <col width="18" customWidth="1" style="49" min="5" max="5"/>
    <col width="20" customWidth="1" style="49" min="6" max="6"/>
    <col width="16" customWidth="1" style="49" min="7" max="7"/>
  </cols>
  <sheetData>
    <row r="1" ht="19.5" customHeight="1" s="50">
      <c r="A1" s="51" t="inlineStr">
        <is>
          <t>日次シミュレーション(0〜90日)- パラメータと天体マスタから自動計算</t>
        </is>
      </c>
    </row>
    <row r="3" ht="16.5" customHeight="1" s="50">
      <c r="A3" s="61" t="inlineStr">
        <is>
          <t>日</t>
        </is>
      </c>
      <c r="B3" s="61" t="inlineStr">
        <is>
          <t>開放済み天体数</t>
        </is>
      </c>
      <c r="C3" s="61" t="inlineStr">
        <is>
          <t>収入レート(cr/秒)</t>
        </is>
      </c>
      <c r="D3" s="61" t="inlineStr">
        <is>
          <t>日次獲得(cr)</t>
        </is>
      </c>
      <c r="E3" s="61" t="inlineStr">
        <is>
          <t>累積獲得(cr)</t>
        </is>
      </c>
      <c r="F3" s="61" t="inlineStr">
        <is>
          <t>累積アンロック費(cr)</t>
        </is>
      </c>
      <c r="G3" s="61" t="inlineStr">
        <is>
          <t>アンロック充足率</t>
        </is>
      </c>
    </row>
    <row r="4" ht="15" customHeight="1" s="50">
      <c r="A4" s="52" t="n">
        <v>0</v>
      </c>
      <c r="B4" s="92">
        <f>COUNTIF(天体マスタ!$F$4:$F$53,"&lt;="&amp;A4)</f>
        <v/>
      </c>
      <c r="C4" s="78">
        <f>パラメータ!$B$5*パラメータ!$B$3*パラメータ!$B$4^(B4-1)</f>
        <v/>
      </c>
      <c r="D4" s="72">
        <f>C4*パラメータ!$B$7</f>
        <v/>
      </c>
      <c r="E4" s="86">
        <f>D4</f>
        <v/>
      </c>
      <c r="F4" s="72">
        <f>SUMIF(天体マスタ!$F$4:$F$53,"&lt;="&amp;A4,天体マスタ!$I$4:$I$53)</f>
        <v/>
      </c>
      <c r="G4" s="89">
        <f>IF(F4=0,"-",E4*パラメータ!$B$6/F4)</f>
        <v/>
      </c>
    </row>
    <row r="5" ht="15" customHeight="1" s="50">
      <c r="A5" s="52" t="n">
        <v>1</v>
      </c>
      <c r="B5" s="92">
        <f>COUNTIF(天体マスタ!$F$4:$F$53,"&lt;="&amp;A5)</f>
        <v/>
      </c>
      <c r="C5" s="78">
        <f>パラメータ!$B$5*パラメータ!$B$3*パラメータ!$B$4^(B5-1)</f>
        <v/>
      </c>
      <c r="D5" s="72">
        <f>C5*パラメータ!$B$7</f>
        <v/>
      </c>
      <c r="E5" s="86">
        <f>E4+D5</f>
        <v/>
      </c>
      <c r="F5" s="72">
        <f>SUMIF(天体マスタ!$F$4:$F$53,"&lt;="&amp;A5,天体マスタ!$I$4:$I$53)</f>
        <v/>
      </c>
      <c r="G5" s="89">
        <f>IF(F5=0,"-",E5*パラメータ!$B$6/F5)</f>
        <v/>
      </c>
    </row>
    <row r="6" ht="15" customHeight="1" s="50">
      <c r="A6" s="52" t="n">
        <v>2</v>
      </c>
      <c r="B6" s="92">
        <f>COUNTIF(天体マスタ!$F$4:$F$53,"&lt;="&amp;A6)</f>
        <v/>
      </c>
      <c r="C6" s="78">
        <f>パラメータ!$B$5*パラメータ!$B$3*パラメータ!$B$4^(B6-1)</f>
        <v/>
      </c>
      <c r="D6" s="72">
        <f>C6*パラメータ!$B$7</f>
        <v/>
      </c>
      <c r="E6" s="86">
        <f>E5+D6</f>
        <v/>
      </c>
      <c r="F6" s="72">
        <f>SUMIF(天体マスタ!$F$4:$F$53,"&lt;="&amp;A6,天体マスタ!$I$4:$I$53)</f>
        <v/>
      </c>
      <c r="G6" s="89">
        <f>IF(F6=0,"-",E6*パラメータ!$B$6/F6)</f>
        <v/>
      </c>
    </row>
    <row r="7" ht="15" customHeight="1" s="50">
      <c r="A7" s="52" t="n">
        <v>3</v>
      </c>
      <c r="B7" s="92">
        <f>COUNTIF(天体マスタ!$F$4:$F$53,"&lt;="&amp;A7)</f>
        <v/>
      </c>
      <c r="C7" s="78">
        <f>パラメータ!$B$5*パラメータ!$B$3*パラメータ!$B$4^(B7-1)</f>
        <v/>
      </c>
      <c r="D7" s="72">
        <f>C7*パラメータ!$B$7</f>
        <v/>
      </c>
      <c r="E7" s="86">
        <f>E6+D7</f>
        <v/>
      </c>
      <c r="F7" s="72">
        <f>SUMIF(天体マスタ!$F$4:$F$53,"&lt;="&amp;A7,天体マスタ!$I$4:$I$53)</f>
        <v/>
      </c>
      <c r="G7" s="89">
        <f>IF(F7=0,"-",E7*パラメータ!$B$6/F7)</f>
        <v/>
      </c>
    </row>
    <row r="8" ht="15" customHeight="1" s="50">
      <c r="A8" s="52" t="n">
        <v>4</v>
      </c>
      <c r="B8" s="92">
        <f>COUNTIF(天体マスタ!$F$4:$F$53,"&lt;="&amp;A8)</f>
        <v/>
      </c>
      <c r="C8" s="78">
        <f>パラメータ!$B$5*パラメータ!$B$3*パラメータ!$B$4^(B8-1)</f>
        <v/>
      </c>
      <c r="D8" s="72">
        <f>C8*パラメータ!$B$7</f>
        <v/>
      </c>
      <c r="E8" s="86">
        <f>E7+D8</f>
        <v/>
      </c>
      <c r="F8" s="72">
        <f>SUMIF(天体マスタ!$F$4:$F$53,"&lt;="&amp;A8,天体マスタ!$I$4:$I$53)</f>
        <v/>
      </c>
      <c r="G8" s="89">
        <f>IF(F8=0,"-",E8*パラメータ!$B$6/F8)</f>
        <v/>
      </c>
    </row>
    <row r="9" ht="15" customHeight="1" s="50">
      <c r="A9" s="52" t="n">
        <v>5</v>
      </c>
      <c r="B9" s="92">
        <f>COUNTIF(天体マスタ!$F$4:$F$53,"&lt;="&amp;A9)</f>
        <v/>
      </c>
      <c r="C9" s="78">
        <f>パラメータ!$B$5*パラメータ!$B$3*パラメータ!$B$4^(B9-1)</f>
        <v/>
      </c>
      <c r="D9" s="72">
        <f>C9*パラメータ!$B$7</f>
        <v/>
      </c>
      <c r="E9" s="86">
        <f>E8+D9</f>
        <v/>
      </c>
      <c r="F9" s="72">
        <f>SUMIF(天体マスタ!$F$4:$F$53,"&lt;="&amp;A9,天体マスタ!$I$4:$I$53)</f>
        <v/>
      </c>
      <c r="G9" s="89">
        <f>IF(F9=0,"-",E9*パラメータ!$B$6/F9)</f>
        <v/>
      </c>
    </row>
    <row r="10" ht="15" customHeight="1" s="50">
      <c r="A10" s="52" t="n">
        <v>6</v>
      </c>
      <c r="B10" s="92">
        <f>COUNTIF(天体マスタ!$F$4:$F$53,"&lt;="&amp;A10)</f>
        <v/>
      </c>
      <c r="C10" s="78">
        <f>パラメータ!$B$5*パラメータ!$B$3*パラメータ!$B$4^(B10-1)</f>
        <v/>
      </c>
      <c r="D10" s="72">
        <f>C10*パラメータ!$B$7</f>
        <v/>
      </c>
      <c r="E10" s="86">
        <f>E9+D10</f>
        <v/>
      </c>
      <c r="F10" s="72">
        <f>SUMIF(天体マスタ!$F$4:$F$53,"&lt;="&amp;A10,天体マスタ!$I$4:$I$53)</f>
        <v/>
      </c>
      <c r="G10" s="89">
        <f>IF(F10=0,"-",E10*パラメータ!$B$6/F10)</f>
        <v/>
      </c>
    </row>
    <row r="11" ht="15" customHeight="1" s="50">
      <c r="A11" s="52" t="n">
        <v>7</v>
      </c>
      <c r="B11" s="92">
        <f>COUNTIF(天体マスタ!$F$4:$F$53,"&lt;="&amp;A11)</f>
        <v/>
      </c>
      <c r="C11" s="78">
        <f>パラメータ!$B$5*パラメータ!$B$3*パラメータ!$B$4^(B11-1)</f>
        <v/>
      </c>
      <c r="D11" s="72">
        <f>C11*パラメータ!$B$7</f>
        <v/>
      </c>
      <c r="E11" s="86">
        <f>E10+D11</f>
        <v/>
      </c>
      <c r="F11" s="72">
        <f>SUMIF(天体マスタ!$F$4:$F$53,"&lt;="&amp;A11,天体マスタ!$I$4:$I$53)</f>
        <v/>
      </c>
      <c r="G11" s="89">
        <f>IF(F11=0,"-",E11*パラメータ!$B$6/F11)</f>
        <v/>
      </c>
    </row>
    <row r="12" ht="15" customHeight="1" s="50">
      <c r="A12" s="52" t="n">
        <v>8</v>
      </c>
      <c r="B12" s="92">
        <f>COUNTIF(天体マスタ!$F$4:$F$53,"&lt;="&amp;A12)</f>
        <v/>
      </c>
      <c r="C12" s="78">
        <f>パラメータ!$B$5*パラメータ!$B$3*パラメータ!$B$4^(B12-1)</f>
        <v/>
      </c>
      <c r="D12" s="72">
        <f>C12*パラメータ!$B$7</f>
        <v/>
      </c>
      <c r="E12" s="86">
        <f>E11+D12</f>
        <v/>
      </c>
      <c r="F12" s="72">
        <f>SUMIF(天体マスタ!$F$4:$F$53,"&lt;="&amp;A12,天体マスタ!$I$4:$I$53)</f>
        <v/>
      </c>
      <c r="G12" s="89">
        <f>IF(F12=0,"-",E12*パラメータ!$B$6/F12)</f>
        <v/>
      </c>
    </row>
    <row r="13" ht="15" customHeight="1" s="50">
      <c r="A13" s="52" t="n">
        <v>9</v>
      </c>
      <c r="B13" s="92">
        <f>COUNTIF(天体マスタ!$F$4:$F$53,"&lt;="&amp;A13)</f>
        <v/>
      </c>
      <c r="C13" s="78">
        <f>パラメータ!$B$5*パラメータ!$B$3*パラメータ!$B$4^(B13-1)</f>
        <v/>
      </c>
      <c r="D13" s="72">
        <f>C13*パラメータ!$B$7</f>
        <v/>
      </c>
      <c r="E13" s="86">
        <f>E12+D13</f>
        <v/>
      </c>
      <c r="F13" s="72">
        <f>SUMIF(天体マスタ!$F$4:$F$53,"&lt;="&amp;A13,天体マスタ!$I$4:$I$53)</f>
        <v/>
      </c>
      <c r="G13" s="89">
        <f>IF(F13=0,"-",E13*パラメータ!$B$6/F13)</f>
        <v/>
      </c>
    </row>
    <row r="14" ht="15" customHeight="1" s="50">
      <c r="A14" s="52" t="n">
        <v>10</v>
      </c>
      <c r="B14" s="92">
        <f>COUNTIF(天体マスタ!$F$4:$F$53,"&lt;="&amp;A14)</f>
        <v/>
      </c>
      <c r="C14" s="78">
        <f>パラメータ!$B$5*パラメータ!$B$3*パラメータ!$B$4^(B14-1)</f>
        <v/>
      </c>
      <c r="D14" s="72">
        <f>C14*パラメータ!$B$7</f>
        <v/>
      </c>
      <c r="E14" s="86">
        <f>E13+D14</f>
        <v/>
      </c>
      <c r="F14" s="72">
        <f>SUMIF(天体マスタ!$F$4:$F$53,"&lt;="&amp;A14,天体マスタ!$I$4:$I$53)</f>
        <v/>
      </c>
      <c r="G14" s="89">
        <f>IF(F14=0,"-",E14*パラメータ!$B$6/F14)</f>
        <v/>
      </c>
    </row>
    <row r="15" ht="15" customHeight="1" s="50">
      <c r="A15" s="52" t="n">
        <v>11</v>
      </c>
      <c r="B15" s="92">
        <f>COUNTIF(天体マスタ!$F$4:$F$53,"&lt;="&amp;A15)</f>
        <v/>
      </c>
      <c r="C15" s="78">
        <f>パラメータ!$B$5*パラメータ!$B$3*パラメータ!$B$4^(B15-1)</f>
        <v/>
      </c>
      <c r="D15" s="72">
        <f>C15*パラメータ!$B$7</f>
        <v/>
      </c>
      <c r="E15" s="86">
        <f>E14+D15</f>
        <v/>
      </c>
      <c r="F15" s="72">
        <f>SUMIF(天体マスタ!$F$4:$F$53,"&lt;="&amp;A15,天体マスタ!$I$4:$I$53)</f>
        <v/>
      </c>
      <c r="G15" s="89">
        <f>IF(F15=0,"-",E15*パラメータ!$B$6/F15)</f>
        <v/>
      </c>
    </row>
    <row r="16" ht="15" customHeight="1" s="50">
      <c r="A16" s="52" t="n">
        <v>12</v>
      </c>
      <c r="B16" s="92">
        <f>COUNTIF(天体マスタ!$F$4:$F$53,"&lt;="&amp;A16)</f>
        <v/>
      </c>
      <c r="C16" s="78">
        <f>パラメータ!$B$5*パラメータ!$B$3*パラメータ!$B$4^(B16-1)</f>
        <v/>
      </c>
      <c r="D16" s="72">
        <f>C16*パラメータ!$B$7</f>
        <v/>
      </c>
      <c r="E16" s="86">
        <f>E15+D16</f>
        <v/>
      </c>
      <c r="F16" s="72">
        <f>SUMIF(天体マスタ!$F$4:$F$53,"&lt;="&amp;A16,天体マスタ!$I$4:$I$53)</f>
        <v/>
      </c>
      <c r="G16" s="89">
        <f>IF(F16=0,"-",E16*パラメータ!$B$6/F16)</f>
        <v/>
      </c>
    </row>
    <row r="17" ht="15" customHeight="1" s="50">
      <c r="A17" s="52" t="n">
        <v>13</v>
      </c>
      <c r="B17" s="92">
        <f>COUNTIF(天体マスタ!$F$4:$F$53,"&lt;="&amp;A17)</f>
        <v/>
      </c>
      <c r="C17" s="78">
        <f>パラメータ!$B$5*パラメータ!$B$3*パラメータ!$B$4^(B17-1)</f>
        <v/>
      </c>
      <c r="D17" s="72">
        <f>C17*パラメータ!$B$7</f>
        <v/>
      </c>
      <c r="E17" s="86">
        <f>E16+D17</f>
        <v/>
      </c>
      <c r="F17" s="72">
        <f>SUMIF(天体マスタ!$F$4:$F$53,"&lt;="&amp;A17,天体マスタ!$I$4:$I$53)</f>
        <v/>
      </c>
      <c r="G17" s="89">
        <f>IF(F17=0,"-",E17*パラメータ!$B$6/F17)</f>
        <v/>
      </c>
    </row>
    <row r="18" ht="15" customHeight="1" s="50">
      <c r="A18" s="52" t="n">
        <v>14</v>
      </c>
      <c r="B18" s="92">
        <f>COUNTIF(天体マスタ!$F$4:$F$53,"&lt;="&amp;A18)</f>
        <v/>
      </c>
      <c r="C18" s="78">
        <f>パラメータ!$B$5*パラメータ!$B$3*パラメータ!$B$4^(B18-1)</f>
        <v/>
      </c>
      <c r="D18" s="72">
        <f>C18*パラメータ!$B$7</f>
        <v/>
      </c>
      <c r="E18" s="86">
        <f>E17+D18</f>
        <v/>
      </c>
      <c r="F18" s="72">
        <f>SUMIF(天体マスタ!$F$4:$F$53,"&lt;="&amp;A18,天体マスタ!$I$4:$I$53)</f>
        <v/>
      </c>
      <c r="G18" s="89">
        <f>IF(F18=0,"-",E18*パラメータ!$B$6/F18)</f>
        <v/>
      </c>
    </row>
    <row r="19" ht="15" customHeight="1" s="50">
      <c r="A19" s="52" t="n">
        <v>15</v>
      </c>
      <c r="B19" s="92">
        <f>COUNTIF(天体マスタ!$F$4:$F$53,"&lt;="&amp;A19)</f>
        <v/>
      </c>
      <c r="C19" s="78">
        <f>パラメータ!$B$5*パラメータ!$B$3*パラメータ!$B$4^(B19-1)</f>
        <v/>
      </c>
      <c r="D19" s="72">
        <f>C19*パラメータ!$B$7</f>
        <v/>
      </c>
      <c r="E19" s="86">
        <f>E18+D19</f>
        <v/>
      </c>
      <c r="F19" s="72">
        <f>SUMIF(天体マスタ!$F$4:$F$53,"&lt;="&amp;A19,天体マスタ!$I$4:$I$53)</f>
        <v/>
      </c>
      <c r="G19" s="89">
        <f>IF(F19=0,"-",E19*パラメータ!$B$6/F19)</f>
        <v/>
      </c>
    </row>
    <row r="20" ht="15" customHeight="1" s="50">
      <c r="A20" s="52" t="n">
        <v>16</v>
      </c>
      <c r="B20" s="92">
        <f>COUNTIF(天体マスタ!$F$4:$F$53,"&lt;="&amp;A20)</f>
        <v/>
      </c>
      <c r="C20" s="78">
        <f>パラメータ!$B$5*パラメータ!$B$3*パラメータ!$B$4^(B20-1)</f>
        <v/>
      </c>
      <c r="D20" s="72">
        <f>C20*パラメータ!$B$7</f>
        <v/>
      </c>
      <c r="E20" s="86">
        <f>E19+D20</f>
        <v/>
      </c>
      <c r="F20" s="72">
        <f>SUMIF(天体マスタ!$F$4:$F$53,"&lt;="&amp;A20,天体マスタ!$I$4:$I$53)</f>
        <v/>
      </c>
      <c r="G20" s="89">
        <f>IF(F20=0,"-",E20*パラメータ!$B$6/F20)</f>
        <v/>
      </c>
    </row>
    <row r="21" ht="15" customHeight="1" s="50">
      <c r="A21" s="52" t="n">
        <v>17</v>
      </c>
      <c r="B21" s="92">
        <f>COUNTIF(天体マスタ!$F$4:$F$53,"&lt;="&amp;A21)</f>
        <v/>
      </c>
      <c r="C21" s="78">
        <f>パラメータ!$B$5*パラメータ!$B$3*パラメータ!$B$4^(B21-1)</f>
        <v/>
      </c>
      <c r="D21" s="72">
        <f>C21*パラメータ!$B$7</f>
        <v/>
      </c>
      <c r="E21" s="86">
        <f>E20+D21</f>
        <v/>
      </c>
      <c r="F21" s="72">
        <f>SUMIF(天体マスタ!$F$4:$F$53,"&lt;="&amp;A21,天体マスタ!$I$4:$I$53)</f>
        <v/>
      </c>
      <c r="G21" s="89">
        <f>IF(F21=0,"-",E21*パラメータ!$B$6/F21)</f>
        <v/>
      </c>
    </row>
    <row r="22" ht="15" customHeight="1" s="50">
      <c r="A22" s="52" t="n">
        <v>18</v>
      </c>
      <c r="B22" s="92">
        <f>COUNTIF(天体マスタ!$F$4:$F$53,"&lt;="&amp;A22)</f>
        <v/>
      </c>
      <c r="C22" s="78">
        <f>パラメータ!$B$5*パラメータ!$B$3*パラメータ!$B$4^(B22-1)</f>
        <v/>
      </c>
      <c r="D22" s="72">
        <f>C22*パラメータ!$B$7</f>
        <v/>
      </c>
      <c r="E22" s="86">
        <f>E21+D22</f>
        <v/>
      </c>
      <c r="F22" s="72">
        <f>SUMIF(天体マスタ!$F$4:$F$53,"&lt;="&amp;A22,天体マスタ!$I$4:$I$53)</f>
        <v/>
      </c>
      <c r="G22" s="89">
        <f>IF(F22=0,"-",E22*パラメータ!$B$6/F22)</f>
        <v/>
      </c>
    </row>
    <row r="23" ht="15" customHeight="1" s="50">
      <c r="A23" s="52" t="n">
        <v>19</v>
      </c>
      <c r="B23" s="92">
        <f>COUNTIF(天体マスタ!$F$4:$F$53,"&lt;="&amp;A23)</f>
        <v/>
      </c>
      <c r="C23" s="78">
        <f>パラメータ!$B$5*パラメータ!$B$3*パラメータ!$B$4^(B23-1)</f>
        <v/>
      </c>
      <c r="D23" s="72">
        <f>C23*パラメータ!$B$7</f>
        <v/>
      </c>
      <c r="E23" s="86">
        <f>E22+D23</f>
        <v/>
      </c>
      <c r="F23" s="72">
        <f>SUMIF(天体マスタ!$F$4:$F$53,"&lt;="&amp;A23,天体マスタ!$I$4:$I$53)</f>
        <v/>
      </c>
      <c r="G23" s="89">
        <f>IF(F23=0,"-",E23*パラメータ!$B$6/F23)</f>
        <v/>
      </c>
    </row>
    <row r="24" ht="15" customHeight="1" s="50">
      <c r="A24" s="52" t="n">
        <v>20</v>
      </c>
      <c r="B24" s="92">
        <f>COUNTIF(天体マスタ!$F$4:$F$53,"&lt;="&amp;A24)</f>
        <v/>
      </c>
      <c r="C24" s="78">
        <f>パラメータ!$B$5*パラメータ!$B$3*パラメータ!$B$4^(B24-1)</f>
        <v/>
      </c>
      <c r="D24" s="72">
        <f>C24*パラメータ!$B$7</f>
        <v/>
      </c>
      <c r="E24" s="86">
        <f>E23+D24</f>
        <v/>
      </c>
      <c r="F24" s="72">
        <f>SUMIF(天体マスタ!$F$4:$F$53,"&lt;="&amp;A24,天体マスタ!$I$4:$I$53)</f>
        <v/>
      </c>
      <c r="G24" s="89">
        <f>IF(F24=0,"-",E24*パラメータ!$B$6/F24)</f>
        <v/>
      </c>
    </row>
    <row r="25" ht="15" customHeight="1" s="50">
      <c r="A25" s="52" t="n">
        <v>21</v>
      </c>
      <c r="B25" s="92">
        <f>COUNTIF(天体マスタ!$F$4:$F$53,"&lt;="&amp;A25)</f>
        <v/>
      </c>
      <c r="C25" s="78">
        <f>パラメータ!$B$5*パラメータ!$B$3*パラメータ!$B$4^(B25-1)</f>
        <v/>
      </c>
      <c r="D25" s="72">
        <f>C25*パラメータ!$B$7</f>
        <v/>
      </c>
      <c r="E25" s="86">
        <f>E24+D25</f>
        <v/>
      </c>
      <c r="F25" s="72">
        <f>SUMIF(天体マスタ!$F$4:$F$53,"&lt;="&amp;A25,天体マスタ!$I$4:$I$53)</f>
        <v/>
      </c>
      <c r="G25" s="89">
        <f>IF(F25=0,"-",E25*パラメータ!$B$6/F25)</f>
        <v/>
      </c>
    </row>
    <row r="26" ht="15" customHeight="1" s="50">
      <c r="A26" s="52" t="n">
        <v>22</v>
      </c>
      <c r="B26" s="92">
        <f>COUNTIF(天体マスタ!$F$4:$F$53,"&lt;="&amp;A26)</f>
        <v/>
      </c>
      <c r="C26" s="78">
        <f>パラメータ!$B$5*パラメータ!$B$3*パラメータ!$B$4^(B26-1)</f>
        <v/>
      </c>
      <c r="D26" s="72">
        <f>C26*パラメータ!$B$7</f>
        <v/>
      </c>
      <c r="E26" s="86">
        <f>E25+D26</f>
        <v/>
      </c>
      <c r="F26" s="72">
        <f>SUMIF(天体マスタ!$F$4:$F$53,"&lt;="&amp;A26,天体マスタ!$I$4:$I$53)</f>
        <v/>
      </c>
      <c r="G26" s="89">
        <f>IF(F26=0,"-",E26*パラメータ!$B$6/F26)</f>
        <v/>
      </c>
    </row>
    <row r="27" ht="15" customHeight="1" s="50">
      <c r="A27" s="52" t="n">
        <v>23</v>
      </c>
      <c r="B27" s="92">
        <f>COUNTIF(天体マスタ!$F$4:$F$53,"&lt;="&amp;A27)</f>
        <v/>
      </c>
      <c r="C27" s="78">
        <f>パラメータ!$B$5*パラメータ!$B$3*パラメータ!$B$4^(B27-1)</f>
        <v/>
      </c>
      <c r="D27" s="72">
        <f>C27*パラメータ!$B$7</f>
        <v/>
      </c>
      <c r="E27" s="86">
        <f>E26+D27</f>
        <v/>
      </c>
      <c r="F27" s="72">
        <f>SUMIF(天体マスタ!$F$4:$F$53,"&lt;="&amp;A27,天体マスタ!$I$4:$I$53)</f>
        <v/>
      </c>
      <c r="G27" s="89">
        <f>IF(F27=0,"-",E27*パラメータ!$B$6/F27)</f>
        <v/>
      </c>
    </row>
    <row r="28" ht="15" customHeight="1" s="50">
      <c r="A28" s="52" t="n">
        <v>24</v>
      </c>
      <c r="B28" s="92">
        <f>COUNTIF(天体マスタ!$F$4:$F$53,"&lt;="&amp;A28)</f>
        <v/>
      </c>
      <c r="C28" s="78">
        <f>パラメータ!$B$5*パラメータ!$B$3*パラメータ!$B$4^(B28-1)</f>
        <v/>
      </c>
      <c r="D28" s="72">
        <f>C28*パラメータ!$B$7</f>
        <v/>
      </c>
      <c r="E28" s="86">
        <f>E27+D28</f>
        <v/>
      </c>
      <c r="F28" s="72">
        <f>SUMIF(天体マスタ!$F$4:$F$53,"&lt;="&amp;A28,天体マスタ!$I$4:$I$53)</f>
        <v/>
      </c>
      <c r="G28" s="89">
        <f>IF(F28=0,"-",E28*パラメータ!$B$6/F28)</f>
        <v/>
      </c>
    </row>
    <row r="29" ht="15" customHeight="1" s="50">
      <c r="A29" s="52" t="n">
        <v>25</v>
      </c>
      <c r="B29" s="92">
        <f>COUNTIF(天体マスタ!$F$4:$F$53,"&lt;="&amp;A29)</f>
        <v/>
      </c>
      <c r="C29" s="78">
        <f>パラメータ!$B$5*パラメータ!$B$3*パラメータ!$B$4^(B29-1)</f>
        <v/>
      </c>
      <c r="D29" s="72">
        <f>C29*パラメータ!$B$7</f>
        <v/>
      </c>
      <c r="E29" s="86">
        <f>E28+D29</f>
        <v/>
      </c>
      <c r="F29" s="72">
        <f>SUMIF(天体マスタ!$F$4:$F$53,"&lt;="&amp;A29,天体マスタ!$I$4:$I$53)</f>
        <v/>
      </c>
      <c r="G29" s="89">
        <f>IF(F29=0,"-",E29*パラメータ!$B$6/F29)</f>
        <v/>
      </c>
    </row>
    <row r="30" ht="15" customHeight="1" s="50">
      <c r="A30" s="52" t="n">
        <v>26</v>
      </c>
      <c r="B30" s="92">
        <f>COUNTIF(天体マスタ!$F$4:$F$53,"&lt;="&amp;A30)</f>
        <v/>
      </c>
      <c r="C30" s="78">
        <f>パラメータ!$B$5*パラメータ!$B$3*パラメータ!$B$4^(B30-1)</f>
        <v/>
      </c>
      <c r="D30" s="72">
        <f>C30*パラメータ!$B$7</f>
        <v/>
      </c>
      <c r="E30" s="86">
        <f>E29+D30</f>
        <v/>
      </c>
      <c r="F30" s="72">
        <f>SUMIF(天体マスタ!$F$4:$F$53,"&lt;="&amp;A30,天体マスタ!$I$4:$I$53)</f>
        <v/>
      </c>
      <c r="G30" s="89">
        <f>IF(F30=0,"-",E30*パラメータ!$B$6/F30)</f>
        <v/>
      </c>
    </row>
    <row r="31" ht="15" customHeight="1" s="50">
      <c r="A31" s="52" t="n">
        <v>27</v>
      </c>
      <c r="B31" s="92">
        <f>COUNTIF(天体マスタ!$F$4:$F$53,"&lt;="&amp;A31)</f>
        <v/>
      </c>
      <c r="C31" s="78">
        <f>パラメータ!$B$5*パラメータ!$B$3*パラメータ!$B$4^(B31-1)</f>
        <v/>
      </c>
      <c r="D31" s="72">
        <f>C31*パラメータ!$B$7</f>
        <v/>
      </c>
      <c r="E31" s="86">
        <f>E30+D31</f>
        <v/>
      </c>
      <c r="F31" s="72">
        <f>SUMIF(天体マスタ!$F$4:$F$53,"&lt;="&amp;A31,天体マスタ!$I$4:$I$53)</f>
        <v/>
      </c>
      <c r="G31" s="89">
        <f>IF(F31=0,"-",E31*パラメータ!$B$6/F31)</f>
        <v/>
      </c>
    </row>
    <row r="32" ht="15" customHeight="1" s="50">
      <c r="A32" s="52" t="n">
        <v>28</v>
      </c>
      <c r="B32" s="92">
        <f>COUNTIF(天体マスタ!$F$4:$F$53,"&lt;="&amp;A32)</f>
        <v/>
      </c>
      <c r="C32" s="78">
        <f>パラメータ!$B$5*パラメータ!$B$3*パラメータ!$B$4^(B32-1)</f>
        <v/>
      </c>
      <c r="D32" s="72">
        <f>C32*パラメータ!$B$7</f>
        <v/>
      </c>
      <c r="E32" s="86">
        <f>E31+D32</f>
        <v/>
      </c>
      <c r="F32" s="72">
        <f>SUMIF(天体マスタ!$F$4:$F$53,"&lt;="&amp;A32,天体マスタ!$I$4:$I$53)</f>
        <v/>
      </c>
      <c r="G32" s="89">
        <f>IF(F32=0,"-",E32*パラメータ!$B$6/F32)</f>
        <v/>
      </c>
    </row>
    <row r="33" ht="15" customHeight="1" s="50">
      <c r="A33" s="52" t="n">
        <v>29</v>
      </c>
      <c r="B33" s="92">
        <f>COUNTIF(天体マスタ!$F$4:$F$53,"&lt;="&amp;A33)</f>
        <v/>
      </c>
      <c r="C33" s="78">
        <f>パラメータ!$B$5*パラメータ!$B$3*パラメータ!$B$4^(B33-1)</f>
        <v/>
      </c>
      <c r="D33" s="72">
        <f>C33*パラメータ!$B$7</f>
        <v/>
      </c>
      <c r="E33" s="86">
        <f>E32+D33</f>
        <v/>
      </c>
      <c r="F33" s="72">
        <f>SUMIF(天体マスタ!$F$4:$F$53,"&lt;="&amp;A33,天体マスタ!$I$4:$I$53)</f>
        <v/>
      </c>
      <c r="G33" s="89">
        <f>IF(F33=0,"-",E33*パラメータ!$B$6/F33)</f>
        <v/>
      </c>
    </row>
    <row r="34" ht="15" customHeight="1" s="50">
      <c r="A34" s="52" t="n">
        <v>30</v>
      </c>
      <c r="B34" s="92">
        <f>COUNTIF(天体マスタ!$F$4:$F$53,"&lt;="&amp;A34)</f>
        <v/>
      </c>
      <c r="C34" s="78">
        <f>パラメータ!$B$5*パラメータ!$B$3*パラメータ!$B$4^(B34-1)</f>
        <v/>
      </c>
      <c r="D34" s="72">
        <f>C34*パラメータ!$B$7</f>
        <v/>
      </c>
      <c r="E34" s="86">
        <f>E33+D34</f>
        <v/>
      </c>
      <c r="F34" s="72">
        <f>SUMIF(天体マスタ!$F$4:$F$53,"&lt;="&amp;A34,天体マスタ!$I$4:$I$53)</f>
        <v/>
      </c>
      <c r="G34" s="89">
        <f>IF(F34=0,"-",E34*パラメータ!$B$6/F34)</f>
        <v/>
      </c>
    </row>
    <row r="35" ht="15" customHeight="1" s="50">
      <c r="A35" s="52" t="n">
        <v>31</v>
      </c>
      <c r="B35" s="92">
        <f>COUNTIF(天体マスタ!$F$4:$F$53,"&lt;="&amp;A35)</f>
        <v/>
      </c>
      <c r="C35" s="78">
        <f>パラメータ!$B$5*パラメータ!$B$3*パラメータ!$B$4^(B35-1)</f>
        <v/>
      </c>
      <c r="D35" s="72">
        <f>C35*パラメータ!$B$7</f>
        <v/>
      </c>
      <c r="E35" s="86">
        <f>E34+D35</f>
        <v/>
      </c>
      <c r="F35" s="72">
        <f>SUMIF(天体マスタ!$F$4:$F$53,"&lt;="&amp;A35,天体マスタ!$I$4:$I$53)</f>
        <v/>
      </c>
      <c r="G35" s="89">
        <f>IF(F35=0,"-",E35*パラメータ!$B$6/F35)</f>
        <v/>
      </c>
    </row>
    <row r="36" ht="15" customHeight="1" s="50">
      <c r="A36" s="52" t="n">
        <v>32</v>
      </c>
      <c r="B36" s="92">
        <f>COUNTIF(天体マスタ!$F$4:$F$53,"&lt;="&amp;A36)</f>
        <v/>
      </c>
      <c r="C36" s="78">
        <f>パラメータ!$B$5*パラメータ!$B$3*パラメータ!$B$4^(B36-1)</f>
        <v/>
      </c>
      <c r="D36" s="72">
        <f>C36*パラメータ!$B$7</f>
        <v/>
      </c>
      <c r="E36" s="86">
        <f>E35+D36</f>
        <v/>
      </c>
      <c r="F36" s="72">
        <f>SUMIF(天体マスタ!$F$4:$F$53,"&lt;="&amp;A36,天体マスタ!$I$4:$I$53)</f>
        <v/>
      </c>
      <c r="G36" s="89">
        <f>IF(F36=0,"-",E36*パラメータ!$B$6/F36)</f>
        <v/>
      </c>
    </row>
    <row r="37" ht="15" customHeight="1" s="50">
      <c r="A37" s="52" t="n">
        <v>33</v>
      </c>
      <c r="B37" s="92">
        <f>COUNTIF(天体マスタ!$F$4:$F$53,"&lt;="&amp;A37)</f>
        <v/>
      </c>
      <c r="C37" s="78">
        <f>パラメータ!$B$5*パラメータ!$B$3*パラメータ!$B$4^(B37-1)</f>
        <v/>
      </c>
      <c r="D37" s="72">
        <f>C37*パラメータ!$B$7</f>
        <v/>
      </c>
      <c r="E37" s="86">
        <f>E36+D37</f>
        <v/>
      </c>
      <c r="F37" s="72">
        <f>SUMIF(天体マスタ!$F$4:$F$53,"&lt;="&amp;A37,天体マスタ!$I$4:$I$53)</f>
        <v/>
      </c>
      <c r="G37" s="89">
        <f>IF(F37=0,"-",E37*パラメータ!$B$6/F37)</f>
        <v/>
      </c>
    </row>
    <row r="38" ht="15" customHeight="1" s="50">
      <c r="A38" s="52" t="n">
        <v>34</v>
      </c>
      <c r="B38" s="92">
        <f>COUNTIF(天体マスタ!$F$4:$F$53,"&lt;="&amp;A38)</f>
        <v/>
      </c>
      <c r="C38" s="78">
        <f>パラメータ!$B$5*パラメータ!$B$3*パラメータ!$B$4^(B38-1)</f>
        <v/>
      </c>
      <c r="D38" s="72">
        <f>C38*パラメータ!$B$7</f>
        <v/>
      </c>
      <c r="E38" s="86">
        <f>E37+D38</f>
        <v/>
      </c>
      <c r="F38" s="72">
        <f>SUMIF(天体マスタ!$F$4:$F$53,"&lt;="&amp;A38,天体マスタ!$I$4:$I$53)</f>
        <v/>
      </c>
      <c r="G38" s="89">
        <f>IF(F38=0,"-",E38*パラメータ!$B$6/F38)</f>
        <v/>
      </c>
    </row>
    <row r="39" ht="15" customHeight="1" s="50">
      <c r="A39" s="52" t="n">
        <v>35</v>
      </c>
      <c r="B39" s="92">
        <f>COUNTIF(天体マスタ!$F$4:$F$53,"&lt;="&amp;A39)</f>
        <v/>
      </c>
      <c r="C39" s="78">
        <f>パラメータ!$B$5*パラメータ!$B$3*パラメータ!$B$4^(B39-1)</f>
        <v/>
      </c>
      <c r="D39" s="72">
        <f>C39*パラメータ!$B$7</f>
        <v/>
      </c>
      <c r="E39" s="86">
        <f>E38+D39</f>
        <v/>
      </c>
      <c r="F39" s="72">
        <f>SUMIF(天体マスタ!$F$4:$F$53,"&lt;="&amp;A39,天体マスタ!$I$4:$I$53)</f>
        <v/>
      </c>
      <c r="G39" s="89">
        <f>IF(F39=0,"-",E39*パラメータ!$B$6/F39)</f>
        <v/>
      </c>
    </row>
    <row r="40" ht="15" customHeight="1" s="50">
      <c r="A40" s="52" t="n">
        <v>36</v>
      </c>
      <c r="B40" s="92">
        <f>COUNTIF(天体マスタ!$F$4:$F$53,"&lt;="&amp;A40)</f>
        <v/>
      </c>
      <c r="C40" s="78">
        <f>パラメータ!$B$5*パラメータ!$B$3*パラメータ!$B$4^(B40-1)</f>
        <v/>
      </c>
      <c r="D40" s="72">
        <f>C40*パラメータ!$B$7</f>
        <v/>
      </c>
      <c r="E40" s="86">
        <f>E39+D40</f>
        <v/>
      </c>
      <c r="F40" s="72">
        <f>SUMIF(天体マスタ!$F$4:$F$53,"&lt;="&amp;A40,天体マスタ!$I$4:$I$53)</f>
        <v/>
      </c>
      <c r="G40" s="89">
        <f>IF(F40=0,"-",E40*パラメータ!$B$6/F40)</f>
        <v/>
      </c>
    </row>
    <row r="41" ht="15" customHeight="1" s="50">
      <c r="A41" s="52" t="n">
        <v>37</v>
      </c>
      <c r="B41" s="92">
        <f>COUNTIF(天体マスタ!$F$4:$F$53,"&lt;="&amp;A41)</f>
        <v/>
      </c>
      <c r="C41" s="78">
        <f>パラメータ!$B$5*パラメータ!$B$3*パラメータ!$B$4^(B41-1)</f>
        <v/>
      </c>
      <c r="D41" s="72">
        <f>C41*パラメータ!$B$7</f>
        <v/>
      </c>
      <c r="E41" s="86">
        <f>E40+D41</f>
        <v/>
      </c>
      <c r="F41" s="72">
        <f>SUMIF(天体マスタ!$F$4:$F$53,"&lt;="&amp;A41,天体マスタ!$I$4:$I$53)</f>
        <v/>
      </c>
      <c r="G41" s="89">
        <f>IF(F41=0,"-",E41*パラメータ!$B$6/F41)</f>
        <v/>
      </c>
    </row>
    <row r="42" ht="15" customHeight="1" s="50">
      <c r="A42" s="52" t="n">
        <v>38</v>
      </c>
      <c r="B42" s="92">
        <f>COUNTIF(天体マスタ!$F$4:$F$53,"&lt;="&amp;A42)</f>
        <v/>
      </c>
      <c r="C42" s="78">
        <f>パラメータ!$B$5*パラメータ!$B$3*パラメータ!$B$4^(B42-1)</f>
        <v/>
      </c>
      <c r="D42" s="72">
        <f>C42*パラメータ!$B$7</f>
        <v/>
      </c>
      <c r="E42" s="86">
        <f>E41+D42</f>
        <v/>
      </c>
      <c r="F42" s="72">
        <f>SUMIF(天体マスタ!$F$4:$F$53,"&lt;="&amp;A42,天体マスタ!$I$4:$I$53)</f>
        <v/>
      </c>
      <c r="G42" s="89">
        <f>IF(F42=0,"-",E42*パラメータ!$B$6/F42)</f>
        <v/>
      </c>
    </row>
    <row r="43" ht="15" customHeight="1" s="50">
      <c r="A43" s="52" t="n">
        <v>39</v>
      </c>
      <c r="B43" s="92">
        <f>COUNTIF(天体マスタ!$F$4:$F$53,"&lt;="&amp;A43)</f>
        <v/>
      </c>
      <c r="C43" s="78">
        <f>パラメータ!$B$5*パラメータ!$B$3*パラメータ!$B$4^(B43-1)</f>
        <v/>
      </c>
      <c r="D43" s="72">
        <f>C43*パラメータ!$B$7</f>
        <v/>
      </c>
      <c r="E43" s="86">
        <f>E42+D43</f>
        <v/>
      </c>
      <c r="F43" s="72">
        <f>SUMIF(天体マスタ!$F$4:$F$53,"&lt;="&amp;A43,天体マスタ!$I$4:$I$53)</f>
        <v/>
      </c>
      <c r="G43" s="89">
        <f>IF(F43=0,"-",E43*パラメータ!$B$6/F43)</f>
        <v/>
      </c>
    </row>
    <row r="44" ht="15" customHeight="1" s="50">
      <c r="A44" s="52" t="n">
        <v>40</v>
      </c>
      <c r="B44" s="92">
        <f>COUNTIF(天体マスタ!$F$4:$F$53,"&lt;="&amp;A44)</f>
        <v/>
      </c>
      <c r="C44" s="78">
        <f>パラメータ!$B$5*パラメータ!$B$3*パラメータ!$B$4^(B44-1)</f>
        <v/>
      </c>
      <c r="D44" s="72">
        <f>C44*パラメータ!$B$7</f>
        <v/>
      </c>
      <c r="E44" s="86">
        <f>E43+D44</f>
        <v/>
      </c>
      <c r="F44" s="72">
        <f>SUMIF(天体マスタ!$F$4:$F$53,"&lt;="&amp;A44,天体マスタ!$I$4:$I$53)</f>
        <v/>
      </c>
      <c r="G44" s="89">
        <f>IF(F44=0,"-",E44*パラメータ!$B$6/F44)</f>
        <v/>
      </c>
    </row>
    <row r="45" ht="15" customHeight="1" s="50">
      <c r="A45" s="52" t="n">
        <v>41</v>
      </c>
      <c r="B45" s="92">
        <f>COUNTIF(天体マスタ!$F$4:$F$53,"&lt;="&amp;A45)</f>
        <v/>
      </c>
      <c r="C45" s="78">
        <f>パラメータ!$B$5*パラメータ!$B$3*パラメータ!$B$4^(B45-1)</f>
        <v/>
      </c>
      <c r="D45" s="72">
        <f>C45*パラメータ!$B$7</f>
        <v/>
      </c>
      <c r="E45" s="86">
        <f>E44+D45</f>
        <v/>
      </c>
      <c r="F45" s="72">
        <f>SUMIF(天体マスタ!$F$4:$F$53,"&lt;="&amp;A45,天体マスタ!$I$4:$I$53)</f>
        <v/>
      </c>
      <c r="G45" s="89">
        <f>IF(F45=0,"-",E45*パラメータ!$B$6/F45)</f>
        <v/>
      </c>
    </row>
    <row r="46" ht="15" customHeight="1" s="50">
      <c r="A46" s="52" t="n">
        <v>42</v>
      </c>
      <c r="B46" s="92">
        <f>COUNTIF(天体マスタ!$F$4:$F$53,"&lt;="&amp;A46)</f>
        <v/>
      </c>
      <c r="C46" s="78">
        <f>パラメータ!$B$5*パラメータ!$B$3*パラメータ!$B$4^(B46-1)</f>
        <v/>
      </c>
      <c r="D46" s="72">
        <f>C46*パラメータ!$B$7</f>
        <v/>
      </c>
      <c r="E46" s="86">
        <f>E45+D46</f>
        <v/>
      </c>
      <c r="F46" s="72">
        <f>SUMIF(天体マスタ!$F$4:$F$53,"&lt;="&amp;A46,天体マスタ!$I$4:$I$53)</f>
        <v/>
      </c>
      <c r="G46" s="89">
        <f>IF(F46=0,"-",E46*パラメータ!$B$6/F46)</f>
        <v/>
      </c>
    </row>
    <row r="47" ht="15" customHeight="1" s="50">
      <c r="A47" s="52" t="n">
        <v>43</v>
      </c>
      <c r="B47" s="92">
        <f>COUNTIF(天体マスタ!$F$4:$F$53,"&lt;="&amp;A47)</f>
        <v/>
      </c>
      <c r="C47" s="78">
        <f>パラメータ!$B$5*パラメータ!$B$3*パラメータ!$B$4^(B47-1)</f>
        <v/>
      </c>
      <c r="D47" s="72">
        <f>C47*パラメータ!$B$7</f>
        <v/>
      </c>
      <c r="E47" s="86">
        <f>E46+D47</f>
        <v/>
      </c>
      <c r="F47" s="72">
        <f>SUMIF(天体マスタ!$F$4:$F$53,"&lt;="&amp;A47,天体マスタ!$I$4:$I$53)</f>
        <v/>
      </c>
      <c r="G47" s="89">
        <f>IF(F47=0,"-",E47*パラメータ!$B$6/F47)</f>
        <v/>
      </c>
    </row>
    <row r="48" ht="15" customHeight="1" s="50">
      <c r="A48" s="52" t="n">
        <v>44</v>
      </c>
      <c r="B48" s="92">
        <f>COUNTIF(天体マスタ!$F$4:$F$53,"&lt;="&amp;A48)</f>
        <v/>
      </c>
      <c r="C48" s="78">
        <f>パラメータ!$B$5*パラメータ!$B$3*パラメータ!$B$4^(B48-1)</f>
        <v/>
      </c>
      <c r="D48" s="72">
        <f>C48*パラメータ!$B$7</f>
        <v/>
      </c>
      <c r="E48" s="86">
        <f>E47+D48</f>
        <v/>
      </c>
      <c r="F48" s="72">
        <f>SUMIF(天体マスタ!$F$4:$F$53,"&lt;="&amp;A48,天体マスタ!$I$4:$I$53)</f>
        <v/>
      </c>
      <c r="G48" s="89">
        <f>IF(F48=0,"-",E48*パラメータ!$B$6/F48)</f>
        <v/>
      </c>
    </row>
    <row r="49" ht="15" customHeight="1" s="50">
      <c r="A49" s="52" t="n">
        <v>45</v>
      </c>
      <c r="B49" s="92">
        <f>COUNTIF(天体マスタ!$F$4:$F$53,"&lt;="&amp;A49)</f>
        <v/>
      </c>
      <c r="C49" s="78">
        <f>パラメータ!$B$5*パラメータ!$B$3*パラメータ!$B$4^(B49-1)</f>
        <v/>
      </c>
      <c r="D49" s="72">
        <f>C49*パラメータ!$B$7</f>
        <v/>
      </c>
      <c r="E49" s="86">
        <f>E48+D49</f>
        <v/>
      </c>
      <c r="F49" s="72">
        <f>SUMIF(天体マスタ!$F$4:$F$53,"&lt;="&amp;A49,天体マスタ!$I$4:$I$53)</f>
        <v/>
      </c>
      <c r="G49" s="89">
        <f>IF(F49=0,"-",E49*パラメータ!$B$6/F49)</f>
        <v/>
      </c>
    </row>
    <row r="50" ht="15" customHeight="1" s="50">
      <c r="A50" s="52" t="n">
        <v>46</v>
      </c>
      <c r="B50" s="92">
        <f>COUNTIF(天体マスタ!$F$4:$F$53,"&lt;="&amp;A50)</f>
        <v/>
      </c>
      <c r="C50" s="78">
        <f>パラメータ!$B$5*パラメータ!$B$3*パラメータ!$B$4^(B50-1)</f>
        <v/>
      </c>
      <c r="D50" s="72">
        <f>C50*パラメータ!$B$7</f>
        <v/>
      </c>
      <c r="E50" s="86">
        <f>E49+D50</f>
        <v/>
      </c>
      <c r="F50" s="72">
        <f>SUMIF(天体マスタ!$F$4:$F$53,"&lt;="&amp;A50,天体マスタ!$I$4:$I$53)</f>
        <v/>
      </c>
      <c r="G50" s="89">
        <f>IF(F50=0,"-",E50*パラメータ!$B$6/F50)</f>
        <v/>
      </c>
    </row>
    <row r="51" ht="15" customHeight="1" s="50">
      <c r="A51" s="52" t="n">
        <v>47</v>
      </c>
      <c r="B51" s="92">
        <f>COUNTIF(天体マスタ!$F$4:$F$53,"&lt;="&amp;A51)</f>
        <v/>
      </c>
      <c r="C51" s="78">
        <f>パラメータ!$B$5*パラメータ!$B$3*パラメータ!$B$4^(B51-1)</f>
        <v/>
      </c>
      <c r="D51" s="72">
        <f>C51*パラメータ!$B$7</f>
        <v/>
      </c>
      <c r="E51" s="86">
        <f>E50+D51</f>
        <v/>
      </c>
      <c r="F51" s="72">
        <f>SUMIF(天体マスタ!$F$4:$F$53,"&lt;="&amp;A51,天体マスタ!$I$4:$I$53)</f>
        <v/>
      </c>
      <c r="G51" s="89">
        <f>IF(F51=0,"-",E51*パラメータ!$B$6/F51)</f>
        <v/>
      </c>
    </row>
    <row r="52" ht="15" customHeight="1" s="50">
      <c r="A52" s="52" t="n">
        <v>48</v>
      </c>
      <c r="B52" s="92">
        <f>COUNTIF(天体マスタ!$F$4:$F$53,"&lt;="&amp;A52)</f>
        <v/>
      </c>
      <c r="C52" s="78">
        <f>パラメータ!$B$5*パラメータ!$B$3*パラメータ!$B$4^(B52-1)</f>
        <v/>
      </c>
      <c r="D52" s="72">
        <f>C52*パラメータ!$B$7</f>
        <v/>
      </c>
      <c r="E52" s="86">
        <f>E51+D52</f>
        <v/>
      </c>
      <c r="F52" s="72">
        <f>SUMIF(天体マスタ!$F$4:$F$53,"&lt;="&amp;A52,天体マスタ!$I$4:$I$53)</f>
        <v/>
      </c>
      <c r="G52" s="89">
        <f>IF(F52=0,"-",E52*パラメータ!$B$6/F52)</f>
        <v/>
      </c>
    </row>
    <row r="53" ht="15" customHeight="1" s="50">
      <c r="A53" s="52" t="n">
        <v>49</v>
      </c>
      <c r="B53" s="92">
        <f>COUNTIF(天体マスタ!$F$4:$F$53,"&lt;="&amp;A53)</f>
        <v/>
      </c>
      <c r="C53" s="78">
        <f>パラメータ!$B$5*パラメータ!$B$3*パラメータ!$B$4^(B53-1)</f>
        <v/>
      </c>
      <c r="D53" s="72">
        <f>C53*パラメータ!$B$7</f>
        <v/>
      </c>
      <c r="E53" s="86">
        <f>E52+D53</f>
        <v/>
      </c>
      <c r="F53" s="72">
        <f>SUMIF(天体マスタ!$F$4:$F$53,"&lt;="&amp;A53,天体マスタ!$I$4:$I$53)</f>
        <v/>
      </c>
      <c r="G53" s="89">
        <f>IF(F53=0,"-",E53*パラメータ!$B$6/F53)</f>
        <v/>
      </c>
    </row>
    <row r="54" ht="15" customHeight="1" s="50">
      <c r="A54" s="52" t="n">
        <v>50</v>
      </c>
      <c r="B54" s="92">
        <f>COUNTIF(天体マスタ!$F$4:$F$53,"&lt;="&amp;A54)</f>
        <v/>
      </c>
      <c r="C54" s="78">
        <f>パラメータ!$B$5*パラメータ!$B$3*パラメータ!$B$4^(B54-1)</f>
        <v/>
      </c>
      <c r="D54" s="72">
        <f>C54*パラメータ!$B$7</f>
        <v/>
      </c>
      <c r="E54" s="86">
        <f>E53+D54</f>
        <v/>
      </c>
      <c r="F54" s="72">
        <f>SUMIF(天体マスタ!$F$4:$F$53,"&lt;="&amp;A54,天体マスタ!$I$4:$I$53)</f>
        <v/>
      </c>
      <c r="G54" s="89">
        <f>IF(F54=0,"-",E54*パラメータ!$B$6/F54)</f>
        <v/>
      </c>
    </row>
    <row r="55" ht="15" customHeight="1" s="50">
      <c r="A55" s="52" t="n">
        <v>51</v>
      </c>
      <c r="B55" s="92">
        <f>COUNTIF(天体マスタ!$F$4:$F$53,"&lt;="&amp;A55)</f>
        <v/>
      </c>
      <c r="C55" s="78">
        <f>パラメータ!$B$5*パラメータ!$B$3*パラメータ!$B$4^(B55-1)</f>
        <v/>
      </c>
      <c r="D55" s="72">
        <f>C55*パラメータ!$B$7</f>
        <v/>
      </c>
      <c r="E55" s="86">
        <f>E54+D55</f>
        <v/>
      </c>
      <c r="F55" s="72">
        <f>SUMIF(天体マスタ!$F$4:$F$53,"&lt;="&amp;A55,天体マスタ!$I$4:$I$53)</f>
        <v/>
      </c>
      <c r="G55" s="89">
        <f>IF(F55=0,"-",E55*パラメータ!$B$6/F55)</f>
        <v/>
      </c>
    </row>
    <row r="56" ht="15" customHeight="1" s="50">
      <c r="A56" s="52" t="n">
        <v>52</v>
      </c>
      <c r="B56" s="92">
        <f>COUNTIF(天体マスタ!$F$4:$F$53,"&lt;="&amp;A56)</f>
        <v/>
      </c>
      <c r="C56" s="78">
        <f>パラメータ!$B$5*パラメータ!$B$3*パラメータ!$B$4^(B56-1)</f>
        <v/>
      </c>
      <c r="D56" s="72">
        <f>C56*パラメータ!$B$7</f>
        <v/>
      </c>
      <c r="E56" s="86">
        <f>E55+D56</f>
        <v/>
      </c>
      <c r="F56" s="72">
        <f>SUMIF(天体マスタ!$F$4:$F$53,"&lt;="&amp;A56,天体マスタ!$I$4:$I$53)</f>
        <v/>
      </c>
      <c r="G56" s="89">
        <f>IF(F56=0,"-",E56*パラメータ!$B$6/F56)</f>
        <v/>
      </c>
    </row>
    <row r="57" ht="15" customHeight="1" s="50">
      <c r="A57" s="52" t="n">
        <v>53</v>
      </c>
      <c r="B57" s="92">
        <f>COUNTIF(天体マスタ!$F$4:$F$53,"&lt;="&amp;A57)</f>
        <v/>
      </c>
      <c r="C57" s="78">
        <f>パラメータ!$B$5*パラメータ!$B$3*パラメータ!$B$4^(B57-1)</f>
        <v/>
      </c>
      <c r="D57" s="72">
        <f>C57*パラメータ!$B$7</f>
        <v/>
      </c>
      <c r="E57" s="86">
        <f>E56+D57</f>
        <v/>
      </c>
      <c r="F57" s="72">
        <f>SUMIF(天体マスタ!$F$4:$F$53,"&lt;="&amp;A57,天体マスタ!$I$4:$I$53)</f>
        <v/>
      </c>
      <c r="G57" s="89">
        <f>IF(F57=0,"-",E57*パラメータ!$B$6/F57)</f>
        <v/>
      </c>
    </row>
    <row r="58" ht="15" customHeight="1" s="50">
      <c r="A58" s="52" t="n">
        <v>54</v>
      </c>
      <c r="B58" s="92">
        <f>COUNTIF(天体マスタ!$F$4:$F$53,"&lt;="&amp;A58)</f>
        <v/>
      </c>
      <c r="C58" s="78">
        <f>パラメータ!$B$5*パラメータ!$B$3*パラメータ!$B$4^(B58-1)</f>
        <v/>
      </c>
      <c r="D58" s="72">
        <f>C58*パラメータ!$B$7</f>
        <v/>
      </c>
      <c r="E58" s="86">
        <f>E57+D58</f>
        <v/>
      </c>
      <c r="F58" s="72">
        <f>SUMIF(天体マスタ!$F$4:$F$53,"&lt;="&amp;A58,天体マスタ!$I$4:$I$53)</f>
        <v/>
      </c>
      <c r="G58" s="89">
        <f>IF(F58=0,"-",E58*パラメータ!$B$6/F58)</f>
        <v/>
      </c>
    </row>
    <row r="59" ht="15" customHeight="1" s="50">
      <c r="A59" s="52" t="n">
        <v>55</v>
      </c>
      <c r="B59" s="92">
        <f>COUNTIF(天体マスタ!$F$4:$F$53,"&lt;="&amp;A59)</f>
        <v/>
      </c>
      <c r="C59" s="78">
        <f>パラメータ!$B$5*パラメータ!$B$3*パラメータ!$B$4^(B59-1)</f>
        <v/>
      </c>
      <c r="D59" s="72">
        <f>C59*パラメータ!$B$7</f>
        <v/>
      </c>
      <c r="E59" s="86">
        <f>E58+D59</f>
        <v/>
      </c>
      <c r="F59" s="72">
        <f>SUMIF(天体マスタ!$F$4:$F$53,"&lt;="&amp;A59,天体マスタ!$I$4:$I$53)</f>
        <v/>
      </c>
      <c r="G59" s="89">
        <f>IF(F59=0,"-",E59*パラメータ!$B$6/F59)</f>
        <v/>
      </c>
    </row>
    <row r="60" ht="15" customHeight="1" s="50">
      <c r="A60" s="52" t="n">
        <v>56</v>
      </c>
      <c r="B60" s="92">
        <f>COUNTIF(天体マスタ!$F$4:$F$53,"&lt;="&amp;A60)</f>
        <v/>
      </c>
      <c r="C60" s="78">
        <f>パラメータ!$B$5*パラメータ!$B$3*パラメータ!$B$4^(B60-1)</f>
        <v/>
      </c>
      <c r="D60" s="72">
        <f>C60*パラメータ!$B$7</f>
        <v/>
      </c>
      <c r="E60" s="86">
        <f>E59+D60</f>
        <v/>
      </c>
      <c r="F60" s="72">
        <f>SUMIF(天体マスタ!$F$4:$F$53,"&lt;="&amp;A60,天体マスタ!$I$4:$I$53)</f>
        <v/>
      </c>
      <c r="G60" s="89">
        <f>IF(F60=0,"-",E60*パラメータ!$B$6/F60)</f>
        <v/>
      </c>
    </row>
    <row r="61" ht="15" customHeight="1" s="50">
      <c r="A61" s="52" t="n">
        <v>57</v>
      </c>
      <c r="B61" s="92">
        <f>COUNTIF(天体マスタ!$F$4:$F$53,"&lt;="&amp;A61)</f>
        <v/>
      </c>
      <c r="C61" s="78">
        <f>パラメータ!$B$5*パラメータ!$B$3*パラメータ!$B$4^(B61-1)</f>
        <v/>
      </c>
      <c r="D61" s="72">
        <f>C61*パラメータ!$B$7</f>
        <v/>
      </c>
      <c r="E61" s="86">
        <f>E60+D61</f>
        <v/>
      </c>
      <c r="F61" s="72">
        <f>SUMIF(天体マスタ!$F$4:$F$53,"&lt;="&amp;A61,天体マスタ!$I$4:$I$53)</f>
        <v/>
      </c>
      <c r="G61" s="89">
        <f>IF(F61=0,"-",E61*パラメータ!$B$6/F61)</f>
        <v/>
      </c>
    </row>
    <row r="62" ht="15" customHeight="1" s="50">
      <c r="A62" s="52" t="n">
        <v>58</v>
      </c>
      <c r="B62" s="92">
        <f>COUNTIF(天体マスタ!$F$4:$F$53,"&lt;="&amp;A62)</f>
        <v/>
      </c>
      <c r="C62" s="78">
        <f>パラメータ!$B$5*パラメータ!$B$3*パラメータ!$B$4^(B62-1)</f>
        <v/>
      </c>
      <c r="D62" s="72">
        <f>C62*パラメータ!$B$7</f>
        <v/>
      </c>
      <c r="E62" s="86">
        <f>E61+D62</f>
        <v/>
      </c>
      <c r="F62" s="72">
        <f>SUMIF(天体マスタ!$F$4:$F$53,"&lt;="&amp;A62,天体マスタ!$I$4:$I$53)</f>
        <v/>
      </c>
      <c r="G62" s="89">
        <f>IF(F62=0,"-",E62*パラメータ!$B$6/F62)</f>
        <v/>
      </c>
    </row>
    <row r="63" ht="15" customHeight="1" s="50">
      <c r="A63" s="52" t="n">
        <v>59</v>
      </c>
      <c r="B63" s="92">
        <f>COUNTIF(天体マスタ!$F$4:$F$53,"&lt;="&amp;A63)</f>
        <v/>
      </c>
      <c r="C63" s="78">
        <f>パラメータ!$B$5*パラメータ!$B$3*パラメータ!$B$4^(B63-1)</f>
        <v/>
      </c>
      <c r="D63" s="72">
        <f>C63*パラメータ!$B$7</f>
        <v/>
      </c>
      <c r="E63" s="86">
        <f>E62+D63</f>
        <v/>
      </c>
      <c r="F63" s="72">
        <f>SUMIF(天体マスタ!$F$4:$F$53,"&lt;="&amp;A63,天体マスタ!$I$4:$I$53)</f>
        <v/>
      </c>
      <c r="G63" s="89">
        <f>IF(F63=0,"-",E63*パラメータ!$B$6/F63)</f>
        <v/>
      </c>
    </row>
    <row r="64" ht="15" customHeight="1" s="50">
      <c r="A64" s="52" t="n">
        <v>60</v>
      </c>
      <c r="B64" s="92">
        <f>COUNTIF(天体マスタ!$F$4:$F$53,"&lt;="&amp;A64)</f>
        <v/>
      </c>
      <c r="C64" s="78">
        <f>パラメータ!$B$5*パラメータ!$B$3*パラメータ!$B$4^(B64-1)</f>
        <v/>
      </c>
      <c r="D64" s="72">
        <f>C64*パラメータ!$B$7</f>
        <v/>
      </c>
      <c r="E64" s="86">
        <f>E63+D64</f>
        <v/>
      </c>
      <c r="F64" s="72">
        <f>SUMIF(天体マスタ!$F$4:$F$53,"&lt;="&amp;A64,天体マスタ!$I$4:$I$53)</f>
        <v/>
      </c>
      <c r="G64" s="89">
        <f>IF(F64=0,"-",E64*パラメータ!$B$6/F64)</f>
        <v/>
      </c>
    </row>
    <row r="65" ht="15" customHeight="1" s="50">
      <c r="A65" s="52" t="n">
        <v>61</v>
      </c>
      <c r="B65" s="92">
        <f>COUNTIF(天体マスタ!$F$4:$F$53,"&lt;="&amp;A65)</f>
        <v/>
      </c>
      <c r="C65" s="78">
        <f>パラメータ!$B$5*パラメータ!$B$3*パラメータ!$B$4^(B65-1)</f>
        <v/>
      </c>
      <c r="D65" s="72">
        <f>C65*パラメータ!$B$7</f>
        <v/>
      </c>
      <c r="E65" s="86">
        <f>E64+D65</f>
        <v/>
      </c>
      <c r="F65" s="72">
        <f>SUMIF(天体マスタ!$F$4:$F$53,"&lt;="&amp;A65,天体マスタ!$I$4:$I$53)</f>
        <v/>
      </c>
      <c r="G65" s="89">
        <f>IF(F65=0,"-",E65*パラメータ!$B$6/F65)</f>
        <v/>
      </c>
    </row>
    <row r="66" ht="15" customHeight="1" s="50">
      <c r="A66" s="52" t="n">
        <v>62</v>
      </c>
      <c r="B66" s="92">
        <f>COUNTIF(天体マスタ!$F$4:$F$53,"&lt;="&amp;A66)</f>
        <v/>
      </c>
      <c r="C66" s="78">
        <f>パラメータ!$B$5*パラメータ!$B$3*パラメータ!$B$4^(B66-1)</f>
        <v/>
      </c>
      <c r="D66" s="72">
        <f>C66*パラメータ!$B$7</f>
        <v/>
      </c>
      <c r="E66" s="86">
        <f>E65+D66</f>
        <v/>
      </c>
      <c r="F66" s="72">
        <f>SUMIF(天体マスタ!$F$4:$F$53,"&lt;="&amp;A66,天体マスタ!$I$4:$I$53)</f>
        <v/>
      </c>
      <c r="G66" s="89">
        <f>IF(F66=0,"-",E66*パラメータ!$B$6/F66)</f>
        <v/>
      </c>
    </row>
    <row r="67" ht="15" customHeight="1" s="50">
      <c r="A67" s="52" t="n">
        <v>63</v>
      </c>
      <c r="B67" s="92">
        <f>COUNTIF(天体マスタ!$F$4:$F$53,"&lt;="&amp;A67)</f>
        <v/>
      </c>
      <c r="C67" s="78">
        <f>パラメータ!$B$5*パラメータ!$B$3*パラメータ!$B$4^(B67-1)</f>
        <v/>
      </c>
      <c r="D67" s="72">
        <f>C67*パラメータ!$B$7</f>
        <v/>
      </c>
      <c r="E67" s="86">
        <f>E66+D67</f>
        <v/>
      </c>
      <c r="F67" s="72">
        <f>SUMIF(天体マスタ!$F$4:$F$53,"&lt;="&amp;A67,天体マスタ!$I$4:$I$53)</f>
        <v/>
      </c>
      <c r="G67" s="89">
        <f>IF(F67=0,"-",E67*パラメータ!$B$6/F67)</f>
        <v/>
      </c>
    </row>
    <row r="68" ht="15" customHeight="1" s="50">
      <c r="A68" s="52" t="n">
        <v>64</v>
      </c>
      <c r="B68" s="92">
        <f>COUNTIF(天体マスタ!$F$4:$F$53,"&lt;="&amp;A68)</f>
        <v/>
      </c>
      <c r="C68" s="78">
        <f>パラメータ!$B$5*パラメータ!$B$3*パラメータ!$B$4^(B68-1)</f>
        <v/>
      </c>
      <c r="D68" s="72">
        <f>C68*パラメータ!$B$7</f>
        <v/>
      </c>
      <c r="E68" s="86">
        <f>E67+D68</f>
        <v/>
      </c>
      <c r="F68" s="72">
        <f>SUMIF(天体マスタ!$F$4:$F$53,"&lt;="&amp;A68,天体マスタ!$I$4:$I$53)</f>
        <v/>
      </c>
      <c r="G68" s="89">
        <f>IF(F68=0,"-",E68*パラメータ!$B$6/F68)</f>
        <v/>
      </c>
    </row>
    <row r="69" ht="15" customHeight="1" s="50">
      <c r="A69" s="52" t="n">
        <v>65</v>
      </c>
      <c r="B69" s="92">
        <f>COUNTIF(天体マスタ!$F$4:$F$53,"&lt;="&amp;A69)</f>
        <v/>
      </c>
      <c r="C69" s="78">
        <f>パラメータ!$B$5*パラメータ!$B$3*パラメータ!$B$4^(B69-1)</f>
        <v/>
      </c>
      <c r="D69" s="72">
        <f>C69*パラメータ!$B$7</f>
        <v/>
      </c>
      <c r="E69" s="86">
        <f>E68+D69</f>
        <v/>
      </c>
      <c r="F69" s="72">
        <f>SUMIF(天体マスタ!$F$4:$F$53,"&lt;="&amp;A69,天体マスタ!$I$4:$I$53)</f>
        <v/>
      </c>
      <c r="G69" s="89">
        <f>IF(F69=0,"-",E69*パラメータ!$B$6/F69)</f>
        <v/>
      </c>
    </row>
    <row r="70" ht="15" customHeight="1" s="50">
      <c r="A70" s="52" t="n">
        <v>66</v>
      </c>
      <c r="B70" s="92">
        <f>COUNTIF(天体マスタ!$F$4:$F$53,"&lt;="&amp;A70)</f>
        <v/>
      </c>
      <c r="C70" s="78">
        <f>パラメータ!$B$5*パラメータ!$B$3*パラメータ!$B$4^(B70-1)</f>
        <v/>
      </c>
      <c r="D70" s="72">
        <f>C70*パラメータ!$B$7</f>
        <v/>
      </c>
      <c r="E70" s="86">
        <f>E69+D70</f>
        <v/>
      </c>
      <c r="F70" s="72">
        <f>SUMIF(天体マスタ!$F$4:$F$53,"&lt;="&amp;A70,天体マスタ!$I$4:$I$53)</f>
        <v/>
      </c>
      <c r="G70" s="89">
        <f>IF(F70=0,"-",E70*パラメータ!$B$6/F70)</f>
        <v/>
      </c>
    </row>
    <row r="71" ht="15" customHeight="1" s="50">
      <c r="A71" s="52" t="n">
        <v>67</v>
      </c>
      <c r="B71" s="92">
        <f>COUNTIF(天体マスタ!$F$4:$F$53,"&lt;="&amp;A71)</f>
        <v/>
      </c>
      <c r="C71" s="78">
        <f>パラメータ!$B$5*パラメータ!$B$3*パラメータ!$B$4^(B71-1)</f>
        <v/>
      </c>
      <c r="D71" s="72">
        <f>C71*パラメータ!$B$7</f>
        <v/>
      </c>
      <c r="E71" s="86">
        <f>E70+D71</f>
        <v/>
      </c>
      <c r="F71" s="72">
        <f>SUMIF(天体マスタ!$F$4:$F$53,"&lt;="&amp;A71,天体マスタ!$I$4:$I$53)</f>
        <v/>
      </c>
      <c r="G71" s="89">
        <f>IF(F71=0,"-",E71*パラメータ!$B$6/F71)</f>
        <v/>
      </c>
    </row>
    <row r="72" ht="15" customHeight="1" s="50">
      <c r="A72" s="52" t="n">
        <v>68</v>
      </c>
      <c r="B72" s="92">
        <f>COUNTIF(天体マスタ!$F$4:$F$53,"&lt;="&amp;A72)</f>
        <v/>
      </c>
      <c r="C72" s="78">
        <f>パラメータ!$B$5*パラメータ!$B$3*パラメータ!$B$4^(B72-1)</f>
        <v/>
      </c>
      <c r="D72" s="72">
        <f>C72*パラメータ!$B$7</f>
        <v/>
      </c>
      <c r="E72" s="86">
        <f>E71+D72</f>
        <v/>
      </c>
      <c r="F72" s="72">
        <f>SUMIF(天体マスタ!$F$4:$F$53,"&lt;="&amp;A72,天体マスタ!$I$4:$I$53)</f>
        <v/>
      </c>
      <c r="G72" s="89">
        <f>IF(F72=0,"-",E72*パラメータ!$B$6/F72)</f>
        <v/>
      </c>
    </row>
    <row r="73" ht="15" customHeight="1" s="50">
      <c r="A73" s="52" t="n">
        <v>69</v>
      </c>
      <c r="B73" s="92">
        <f>COUNTIF(天体マスタ!$F$4:$F$53,"&lt;="&amp;A73)</f>
        <v/>
      </c>
      <c r="C73" s="78">
        <f>パラメータ!$B$5*パラメータ!$B$3*パラメータ!$B$4^(B73-1)</f>
        <v/>
      </c>
      <c r="D73" s="72">
        <f>C73*パラメータ!$B$7</f>
        <v/>
      </c>
      <c r="E73" s="86">
        <f>E72+D73</f>
        <v/>
      </c>
      <c r="F73" s="72">
        <f>SUMIF(天体マスタ!$F$4:$F$53,"&lt;="&amp;A73,天体マスタ!$I$4:$I$53)</f>
        <v/>
      </c>
      <c r="G73" s="89">
        <f>IF(F73=0,"-",E73*パラメータ!$B$6/F73)</f>
        <v/>
      </c>
    </row>
    <row r="74" ht="15" customHeight="1" s="50">
      <c r="A74" s="52" t="n">
        <v>70</v>
      </c>
      <c r="B74" s="92">
        <f>COUNTIF(天体マスタ!$F$4:$F$53,"&lt;="&amp;A74)</f>
        <v/>
      </c>
      <c r="C74" s="78">
        <f>パラメータ!$B$5*パラメータ!$B$3*パラメータ!$B$4^(B74-1)</f>
        <v/>
      </c>
      <c r="D74" s="72">
        <f>C74*パラメータ!$B$7</f>
        <v/>
      </c>
      <c r="E74" s="86">
        <f>E73+D74</f>
        <v/>
      </c>
      <c r="F74" s="72">
        <f>SUMIF(天体マスタ!$F$4:$F$53,"&lt;="&amp;A74,天体マスタ!$I$4:$I$53)</f>
        <v/>
      </c>
      <c r="G74" s="89">
        <f>IF(F74=0,"-",E74*パラメータ!$B$6/F74)</f>
        <v/>
      </c>
    </row>
    <row r="75" ht="15" customHeight="1" s="50">
      <c r="A75" s="52" t="n">
        <v>71</v>
      </c>
      <c r="B75" s="92">
        <f>COUNTIF(天体マスタ!$F$4:$F$53,"&lt;="&amp;A75)</f>
        <v/>
      </c>
      <c r="C75" s="78">
        <f>パラメータ!$B$5*パラメータ!$B$3*パラメータ!$B$4^(B75-1)</f>
        <v/>
      </c>
      <c r="D75" s="72">
        <f>C75*パラメータ!$B$7</f>
        <v/>
      </c>
      <c r="E75" s="86">
        <f>E74+D75</f>
        <v/>
      </c>
      <c r="F75" s="72">
        <f>SUMIF(天体マスタ!$F$4:$F$53,"&lt;="&amp;A75,天体マスタ!$I$4:$I$53)</f>
        <v/>
      </c>
      <c r="G75" s="89">
        <f>IF(F75=0,"-",E75*パラメータ!$B$6/F75)</f>
        <v/>
      </c>
    </row>
    <row r="76" ht="15" customHeight="1" s="50">
      <c r="A76" s="52" t="n">
        <v>72</v>
      </c>
      <c r="B76" s="92">
        <f>COUNTIF(天体マスタ!$F$4:$F$53,"&lt;="&amp;A76)</f>
        <v/>
      </c>
      <c r="C76" s="78">
        <f>パラメータ!$B$5*パラメータ!$B$3*パラメータ!$B$4^(B76-1)</f>
        <v/>
      </c>
      <c r="D76" s="72">
        <f>C76*パラメータ!$B$7</f>
        <v/>
      </c>
      <c r="E76" s="86">
        <f>E75+D76</f>
        <v/>
      </c>
      <c r="F76" s="72">
        <f>SUMIF(天体マスタ!$F$4:$F$53,"&lt;="&amp;A76,天体マスタ!$I$4:$I$53)</f>
        <v/>
      </c>
      <c r="G76" s="89">
        <f>IF(F76=0,"-",E76*パラメータ!$B$6/F76)</f>
        <v/>
      </c>
    </row>
    <row r="77" ht="15" customHeight="1" s="50">
      <c r="A77" s="52" t="n">
        <v>73</v>
      </c>
      <c r="B77" s="92">
        <f>COUNTIF(天体マスタ!$F$4:$F$53,"&lt;="&amp;A77)</f>
        <v/>
      </c>
      <c r="C77" s="78">
        <f>パラメータ!$B$5*パラメータ!$B$3*パラメータ!$B$4^(B77-1)</f>
        <v/>
      </c>
      <c r="D77" s="72">
        <f>C77*パラメータ!$B$7</f>
        <v/>
      </c>
      <c r="E77" s="86">
        <f>E76+D77</f>
        <v/>
      </c>
      <c r="F77" s="72">
        <f>SUMIF(天体マスタ!$F$4:$F$53,"&lt;="&amp;A77,天体マスタ!$I$4:$I$53)</f>
        <v/>
      </c>
      <c r="G77" s="89">
        <f>IF(F77=0,"-",E77*パラメータ!$B$6/F77)</f>
        <v/>
      </c>
    </row>
    <row r="78" ht="15" customHeight="1" s="50">
      <c r="A78" s="52" t="n">
        <v>74</v>
      </c>
      <c r="B78" s="92">
        <f>COUNTIF(天体マスタ!$F$4:$F$53,"&lt;="&amp;A78)</f>
        <v/>
      </c>
      <c r="C78" s="78">
        <f>パラメータ!$B$5*パラメータ!$B$3*パラメータ!$B$4^(B78-1)</f>
        <v/>
      </c>
      <c r="D78" s="72">
        <f>C78*パラメータ!$B$7</f>
        <v/>
      </c>
      <c r="E78" s="86">
        <f>E77+D78</f>
        <v/>
      </c>
      <c r="F78" s="72">
        <f>SUMIF(天体マスタ!$F$4:$F$53,"&lt;="&amp;A78,天体マスタ!$I$4:$I$53)</f>
        <v/>
      </c>
      <c r="G78" s="89">
        <f>IF(F78=0,"-",E78*パラメータ!$B$6/F78)</f>
        <v/>
      </c>
    </row>
    <row r="79" ht="15" customHeight="1" s="50">
      <c r="A79" s="52" t="n">
        <v>75</v>
      </c>
      <c r="B79" s="92">
        <f>COUNTIF(天体マスタ!$F$4:$F$53,"&lt;="&amp;A79)</f>
        <v/>
      </c>
      <c r="C79" s="78">
        <f>パラメータ!$B$5*パラメータ!$B$3*パラメータ!$B$4^(B79-1)</f>
        <v/>
      </c>
      <c r="D79" s="72">
        <f>C79*パラメータ!$B$7</f>
        <v/>
      </c>
      <c r="E79" s="86">
        <f>E78+D79</f>
        <v/>
      </c>
      <c r="F79" s="72">
        <f>SUMIF(天体マスタ!$F$4:$F$53,"&lt;="&amp;A79,天体マスタ!$I$4:$I$53)</f>
        <v/>
      </c>
      <c r="G79" s="89">
        <f>IF(F79=0,"-",E79*パラメータ!$B$6/F79)</f>
        <v/>
      </c>
    </row>
    <row r="80" ht="15" customHeight="1" s="50">
      <c r="A80" s="52" t="n">
        <v>76</v>
      </c>
      <c r="B80" s="92">
        <f>COUNTIF(天体マスタ!$F$4:$F$53,"&lt;="&amp;A80)</f>
        <v/>
      </c>
      <c r="C80" s="78">
        <f>パラメータ!$B$5*パラメータ!$B$3*パラメータ!$B$4^(B80-1)</f>
        <v/>
      </c>
      <c r="D80" s="72">
        <f>C80*パラメータ!$B$7</f>
        <v/>
      </c>
      <c r="E80" s="86">
        <f>E79+D80</f>
        <v/>
      </c>
      <c r="F80" s="72">
        <f>SUMIF(天体マスタ!$F$4:$F$53,"&lt;="&amp;A80,天体マスタ!$I$4:$I$53)</f>
        <v/>
      </c>
      <c r="G80" s="89">
        <f>IF(F80=0,"-",E80*パラメータ!$B$6/F80)</f>
        <v/>
      </c>
    </row>
    <row r="81" ht="15" customHeight="1" s="50">
      <c r="A81" s="52" t="n">
        <v>77</v>
      </c>
      <c r="B81" s="92">
        <f>COUNTIF(天体マスタ!$F$4:$F$53,"&lt;="&amp;A81)</f>
        <v/>
      </c>
      <c r="C81" s="78">
        <f>パラメータ!$B$5*パラメータ!$B$3*パラメータ!$B$4^(B81-1)</f>
        <v/>
      </c>
      <c r="D81" s="72">
        <f>C81*パラメータ!$B$7</f>
        <v/>
      </c>
      <c r="E81" s="86">
        <f>E80+D81</f>
        <v/>
      </c>
      <c r="F81" s="72">
        <f>SUMIF(天体マスタ!$F$4:$F$53,"&lt;="&amp;A81,天体マスタ!$I$4:$I$53)</f>
        <v/>
      </c>
      <c r="G81" s="89">
        <f>IF(F81=0,"-",E81*パラメータ!$B$6/F81)</f>
        <v/>
      </c>
    </row>
    <row r="82" ht="15" customHeight="1" s="50">
      <c r="A82" s="52" t="n">
        <v>78</v>
      </c>
      <c r="B82" s="92">
        <f>COUNTIF(天体マスタ!$F$4:$F$53,"&lt;="&amp;A82)</f>
        <v/>
      </c>
      <c r="C82" s="78">
        <f>パラメータ!$B$5*パラメータ!$B$3*パラメータ!$B$4^(B82-1)</f>
        <v/>
      </c>
      <c r="D82" s="72">
        <f>C82*パラメータ!$B$7</f>
        <v/>
      </c>
      <c r="E82" s="86">
        <f>E81+D82</f>
        <v/>
      </c>
      <c r="F82" s="72">
        <f>SUMIF(天体マスタ!$F$4:$F$53,"&lt;="&amp;A82,天体マスタ!$I$4:$I$53)</f>
        <v/>
      </c>
      <c r="G82" s="89">
        <f>IF(F82=0,"-",E82*パラメータ!$B$6/F82)</f>
        <v/>
      </c>
    </row>
    <row r="83" ht="15" customHeight="1" s="50">
      <c r="A83" s="52" t="n">
        <v>79</v>
      </c>
      <c r="B83" s="92">
        <f>COUNTIF(天体マスタ!$F$4:$F$53,"&lt;="&amp;A83)</f>
        <v/>
      </c>
      <c r="C83" s="78">
        <f>パラメータ!$B$5*パラメータ!$B$3*パラメータ!$B$4^(B83-1)</f>
        <v/>
      </c>
      <c r="D83" s="72">
        <f>C83*パラメータ!$B$7</f>
        <v/>
      </c>
      <c r="E83" s="86">
        <f>E82+D83</f>
        <v/>
      </c>
      <c r="F83" s="72">
        <f>SUMIF(天体マスタ!$F$4:$F$53,"&lt;="&amp;A83,天体マスタ!$I$4:$I$53)</f>
        <v/>
      </c>
      <c r="G83" s="89">
        <f>IF(F83=0,"-",E83*パラメータ!$B$6/F83)</f>
        <v/>
      </c>
    </row>
    <row r="84" ht="15" customHeight="1" s="50">
      <c r="A84" s="52" t="n">
        <v>80</v>
      </c>
      <c r="B84" s="92">
        <f>COUNTIF(天体マスタ!$F$4:$F$53,"&lt;="&amp;A84)</f>
        <v/>
      </c>
      <c r="C84" s="78">
        <f>パラメータ!$B$5*パラメータ!$B$3*パラメータ!$B$4^(B84-1)</f>
        <v/>
      </c>
      <c r="D84" s="72">
        <f>C84*パラメータ!$B$7</f>
        <v/>
      </c>
      <c r="E84" s="86">
        <f>E83+D84</f>
        <v/>
      </c>
      <c r="F84" s="72">
        <f>SUMIF(天体マスタ!$F$4:$F$53,"&lt;="&amp;A84,天体マスタ!$I$4:$I$53)</f>
        <v/>
      </c>
      <c r="G84" s="89">
        <f>IF(F84=0,"-",E84*パラメータ!$B$6/F84)</f>
        <v/>
      </c>
    </row>
    <row r="85" ht="15" customHeight="1" s="50">
      <c r="A85" s="52" t="n">
        <v>81</v>
      </c>
      <c r="B85" s="92">
        <f>COUNTIF(天体マスタ!$F$4:$F$53,"&lt;="&amp;A85)</f>
        <v/>
      </c>
      <c r="C85" s="78">
        <f>パラメータ!$B$5*パラメータ!$B$3*パラメータ!$B$4^(B85-1)</f>
        <v/>
      </c>
      <c r="D85" s="72">
        <f>C85*パラメータ!$B$7</f>
        <v/>
      </c>
      <c r="E85" s="86">
        <f>E84+D85</f>
        <v/>
      </c>
      <c r="F85" s="72">
        <f>SUMIF(天体マスタ!$F$4:$F$53,"&lt;="&amp;A85,天体マスタ!$I$4:$I$53)</f>
        <v/>
      </c>
      <c r="G85" s="89">
        <f>IF(F85=0,"-",E85*パラメータ!$B$6/F85)</f>
        <v/>
      </c>
    </row>
    <row r="86" ht="15" customHeight="1" s="50">
      <c r="A86" s="52" t="n">
        <v>82</v>
      </c>
      <c r="B86" s="92">
        <f>COUNTIF(天体マスタ!$F$4:$F$53,"&lt;="&amp;A86)</f>
        <v/>
      </c>
      <c r="C86" s="78">
        <f>パラメータ!$B$5*パラメータ!$B$3*パラメータ!$B$4^(B86-1)</f>
        <v/>
      </c>
      <c r="D86" s="72">
        <f>C86*パラメータ!$B$7</f>
        <v/>
      </c>
      <c r="E86" s="86">
        <f>E85+D86</f>
        <v/>
      </c>
      <c r="F86" s="72">
        <f>SUMIF(天体マスタ!$F$4:$F$53,"&lt;="&amp;A86,天体マスタ!$I$4:$I$53)</f>
        <v/>
      </c>
      <c r="G86" s="89">
        <f>IF(F86=0,"-",E86*パラメータ!$B$6/F86)</f>
        <v/>
      </c>
    </row>
    <row r="87" ht="15" customHeight="1" s="50">
      <c r="A87" s="52" t="n">
        <v>83</v>
      </c>
      <c r="B87" s="92">
        <f>COUNTIF(天体マスタ!$F$4:$F$53,"&lt;="&amp;A87)</f>
        <v/>
      </c>
      <c r="C87" s="78">
        <f>パラメータ!$B$5*パラメータ!$B$3*パラメータ!$B$4^(B87-1)</f>
        <v/>
      </c>
      <c r="D87" s="72">
        <f>C87*パラメータ!$B$7</f>
        <v/>
      </c>
      <c r="E87" s="86">
        <f>E86+D87</f>
        <v/>
      </c>
      <c r="F87" s="72">
        <f>SUMIF(天体マスタ!$F$4:$F$53,"&lt;="&amp;A87,天体マスタ!$I$4:$I$53)</f>
        <v/>
      </c>
      <c r="G87" s="89">
        <f>IF(F87=0,"-",E87*パラメータ!$B$6/F87)</f>
        <v/>
      </c>
    </row>
    <row r="88" ht="15" customHeight="1" s="50">
      <c r="A88" s="52" t="n">
        <v>84</v>
      </c>
      <c r="B88" s="92">
        <f>COUNTIF(天体マスタ!$F$4:$F$53,"&lt;="&amp;A88)</f>
        <v/>
      </c>
      <c r="C88" s="78">
        <f>パラメータ!$B$5*パラメータ!$B$3*パラメータ!$B$4^(B88-1)</f>
        <v/>
      </c>
      <c r="D88" s="72">
        <f>C88*パラメータ!$B$7</f>
        <v/>
      </c>
      <c r="E88" s="86">
        <f>E87+D88</f>
        <v/>
      </c>
      <c r="F88" s="72">
        <f>SUMIF(天体マスタ!$F$4:$F$53,"&lt;="&amp;A88,天体マスタ!$I$4:$I$53)</f>
        <v/>
      </c>
      <c r="G88" s="89">
        <f>IF(F88=0,"-",E88*パラメータ!$B$6/F88)</f>
        <v/>
      </c>
    </row>
    <row r="89" ht="15" customHeight="1" s="50">
      <c r="A89" s="52" t="n">
        <v>85</v>
      </c>
      <c r="B89" s="92">
        <f>COUNTIF(天体マスタ!$F$4:$F$53,"&lt;="&amp;A89)</f>
        <v/>
      </c>
      <c r="C89" s="78">
        <f>パラメータ!$B$5*パラメータ!$B$3*パラメータ!$B$4^(B89-1)</f>
        <v/>
      </c>
      <c r="D89" s="72">
        <f>C89*パラメータ!$B$7</f>
        <v/>
      </c>
      <c r="E89" s="86">
        <f>E88+D89</f>
        <v/>
      </c>
      <c r="F89" s="72">
        <f>SUMIF(天体マスタ!$F$4:$F$53,"&lt;="&amp;A89,天体マスタ!$I$4:$I$53)</f>
        <v/>
      </c>
      <c r="G89" s="89">
        <f>IF(F89=0,"-",E89*パラメータ!$B$6/F89)</f>
        <v/>
      </c>
    </row>
    <row r="90" ht="15" customHeight="1" s="50">
      <c r="A90" s="52" t="n">
        <v>86</v>
      </c>
      <c r="B90" s="92">
        <f>COUNTIF(天体マスタ!$F$4:$F$53,"&lt;="&amp;A90)</f>
        <v/>
      </c>
      <c r="C90" s="78">
        <f>パラメータ!$B$5*パラメータ!$B$3*パラメータ!$B$4^(B90-1)</f>
        <v/>
      </c>
      <c r="D90" s="72">
        <f>C90*パラメータ!$B$7</f>
        <v/>
      </c>
      <c r="E90" s="86">
        <f>E89+D90</f>
        <v/>
      </c>
      <c r="F90" s="72">
        <f>SUMIF(天体マスタ!$F$4:$F$53,"&lt;="&amp;A90,天体マスタ!$I$4:$I$53)</f>
        <v/>
      </c>
      <c r="G90" s="89">
        <f>IF(F90=0,"-",E90*パラメータ!$B$6/F90)</f>
        <v/>
      </c>
    </row>
    <row r="91" ht="15" customHeight="1" s="50">
      <c r="A91" s="52" t="n">
        <v>87</v>
      </c>
      <c r="B91" s="92">
        <f>COUNTIF(天体マスタ!$F$4:$F$53,"&lt;="&amp;A91)</f>
        <v/>
      </c>
      <c r="C91" s="78">
        <f>パラメータ!$B$5*パラメータ!$B$3*パラメータ!$B$4^(B91-1)</f>
        <v/>
      </c>
      <c r="D91" s="72">
        <f>C91*パラメータ!$B$7</f>
        <v/>
      </c>
      <c r="E91" s="86">
        <f>E90+D91</f>
        <v/>
      </c>
      <c r="F91" s="72">
        <f>SUMIF(天体マスタ!$F$4:$F$53,"&lt;="&amp;A91,天体マスタ!$I$4:$I$53)</f>
        <v/>
      </c>
      <c r="G91" s="89">
        <f>IF(F91=0,"-",E91*パラメータ!$B$6/F91)</f>
        <v/>
      </c>
    </row>
    <row r="92" ht="15" customHeight="1" s="50">
      <c r="A92" s="52" t="n">
        <v>88</v>
      </c>
      <c r="B92" s="92">
        <f>COUNTIF(天体マスタ!$F$4:$F$53,"&lt;="&amp;A92)</f>
        <v/>
      </c>
      <c r="C92" s="78">
        <f>パラメータ!$B$5*パラメータ!$B$3*パラメータ!$B$4^(B92-1)</f>
        <v/>
      </c>
      <c r="D92" s="72">
        <f>C92*パラメータ!$B$7</f>
        <v/>
      </c>
      <c r="E92" s="86">
        <f>E91+D92</f>
        <v/>
      </c>
      <c r="F92" s="72">
        <f>SUMIF(天体マスタ!$F$4:$F$53,"&lt;="&amp;A92,天体マスタ!$I$4:$I$53)</f>
        <v/>
      </c>
      <c r="G92" s="89">
        <f>IF(F92=0,"-",E92*パラメータ!$B$6/F92)</f>
        <v/>
      </c>
    </row>
    <row r="93" ht="15" customHeight="1" s="50">
      <c r="A93" s="52" t="n">
        <v>89</v>
      </c>
      <c r="B93" s="92">
        <f>COUNTIF(天体マスタ!$F$4:$F$53,"&lt;="&amp;A93)</f>
        <v/>
      </c>
      <c r="C93" s="78">
        <f>パラメータ!$B$5*パラメータ!$B$3*パラメータ!$B$4^(B93-1)</f>
        <v/>
      </c>
      <c r="D93" s="72">
        <f>C93*パラメータ!$B$7</f>
        <v/>
      </c>
      <c r="E93" s="86">
        <f>E92+D93</f>
        <v/>
      </c>
      <c r="F93" s="72">
        <f>SUMIF(天体マスタ!$F$4:$F$53,"&lt;="&amp;A93,天体マスタ!$I$4:$I$53)</f>
        <v/>
      </c>
      <c r="G93" s="89">
        <f>IF(F93=0,"-",E93*パラメータ!$B$6/F93)</f>
        <v/>
      </c>
    </row>
    <row r="94" ht="15" customHeight="1" s="50">
      <c r="A94" s="52" t="n">
        <v>90</v>
      </c>
      <c r="B94" s="92">
        <f>COUNTIF(天体マスタ!$F$4:$F$53,"&lt;="&amp;A94)</f>
        <v/>
      </c>
      <c r="C94" s="78">
        <f>パラメータ!$B$5*パラメータ!$B$3*パラメータ!$B$4^(B94-1)</f>
        <v/>
      </c>
      <c r="D94" s="72">
        <f>C94*パラメータ!$B$7</f>
        <v/>
      </c>
      <c r="E94" s="86">
        <f>E93+D94</f>
        <v/>
      </c>
      <c r="F94" s="72">
        <f>SUMIF(天体マスタ!$F$4:$F$53,"&lt;="&amp;A94,天体マスタ!$I$4:$I$53)</f>
        <v/>
      </c>
      <c r="G94" s="89">
        <f>IF(F94=0,"-",E94*パラメータ!$B$6/F94)</f>
        <v/>
      </c>
    </row>
    <row r="96" ht="16.5" customHeight="1" s="50">
      <c r="A96" s="54" t="inlineStr">
        <is>
          <t>充足率が100%前後で推移していれば、目標日どおりのペースで開放費を賄える設計になっている(強化費は残り s 以外の収入で賄う想定)。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2026-07-11T11:41:01Z</dcterms:created>
  <dcterms:modified xmlns:dcterms="http://purl.org/dc/terms/" xmlns:xsi="http://www.w3.org/2001/XMLSchema-instance" xsi:type="dcterms:W3CDTF">2026-07-12T00:20:06Z</dcterms:modified>
  <cp:revision>0</cp:revision>
</cp:coreProperties>
</file>